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1\Documents\claude\facility-manager\양식\"/>
    </mc:Choice>
  </mc:AlternateContent>
  <xr:revisionPtr revIDLastSave="0" documentId="13_ncr:1_{BE7EE725-F41F-4832-B603-F52CE16E4208}" xr6:coauthVersionLast="47" xr6:coauthVersionMax="47" xr10:uidLastSave="{00000000-0000-0000-0000-000000000000}"/>
  <bookViews>
    <workbookView xWindow="-15210" yWindow="75" windowWidth="14655" windowHeight="15180" xr2:uid="{00000000-000D-0000-FFFF-FFFF00000000}"/>
  </bookViews>
  <sheets>
    <sheet name=" 발주서" sheetId="1" r:id="rId1"/>
    <sheet name="단가" sheetId="2" r:id="rId2"/>
    <sheet name="담당" sheetId="3" r:id="rId3"/>
    <sheet name="배송지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3" l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34" i="2"/>
  <c r="N14" i="1" s="1"/>
  <c r="G33" i="2"/>
  <c r="F33" i="2"/>
  <c r="E33" i="2"/>
  <c r="D33" i="2"/>
  <c r="C33" i="2"/>
  <c r="B33" i="2"/>
  <c r="A32" i="2"/>
  <c r="A31" i="2"/>
  <c r="C30" i="2"/>
  <c r="A30" i="2"/>
  <c r="C29" i="2"/>
  <c r="A29" i="2"/>
  <c r="A28" i="2"/>
  <c r="A27" i="2"/>
  <c r="A26" i="2"/>
  <c r="C25" i="2"/>
  <c r="A25" i="2"/>
  <c r="C24" i="2"/>
  <c r="A24" i="2"/>
  <c r="A23" i="2"/>
  <c r="A22" i="2"/>
  <c r="A21" i="2"/>
  <c r="C20" i="2"/>
  <c r="A20" i="2"/>
  <c r="C19" i="2"/>
  <c r="A19" i="2"/>
  <c r="A18" i="2"/>
  <c r="A17" i="2"/>
  <c r="A16" i="2"/>
  <c r="C15" i="2"/>
  <c r="A15" i="2"/>
  <c r="C14" i="2"/>
  <c r="A14" i="2"/>
  <c r="A13" i="2"/>
  <c r="A11" i="2"/>
  <c r="A10" i="2"/>
  <c r="A9" i="2"/>
  <c r="A8" i="2"/>
  <c r="A7" i="2"/>
  <c r="A6" i="2"/>
  <c r="A5" i="2"/>
  <c r="A4" i="2"/>
  <c r="A3" i="2"/>
  <c r="A2" i="2"/>
  <c r="AJ53" i="1"/>
  <c r="U53" i="1"/>
  <c r="K53" i="1"/>
  <c r="U42" i="1"/>
  <c r="U41" i="1"/>
  <c r="K31" i="1"/>
  <c r="K30" i="1"/>
  <c r="K29" i="1"/>
  <c r="K28" i="1"/>
  <c r="K27" i="1"/>
  <c r="K26" i="1"/>
  <c r="K25" i="1"/>
  <c r="U22" i="1"/>
  <c r="AO21" i="1"/>
  <c r="AE21" i="1"/>
  <c r="U21" i="1"/>
  <c r="BA13" i="1"/>
  <c r="AJ38" i="1" s="1"/>
  <c r="BA12" i="1"/>
  <c r="BA11" i="1"/>
  <c r="BA10" i="1"/>
  <c r="BA9" i="1"/>
  <c r="BA8" i="1"/>
  <c r="BA7" i="1"/>
  <c r="BA6" i="1"/>
  <c r="BA5" i="1"/>
  <c r="A5" i="1"/>
  <c r="U19" i="1" s="1"/>
</calcChain>
</file>

<file path=xl/sharedStrings.xml><?xml version="1.0" encoding="utf-8"?>
<sst xmlns="http://schemas.openxmlformats.org/spreadsheetml/2006/main" count="235" uniqueCount="203">
  <si>
    <t>발      주      서</t>
  </si>
  <si>
    <t xml:space="preserve">수신 : </t>
  </si>
  <si>
    <t>(주)에코센스</t>
  </si>
  <si>
    <t>(인)</t>
  </si>
  <si>
    <t xml:space="preserve">발신 : </t>
  </si>
  <si>
    <t>주식회사 블루온</t>
  </si>
  <si>
    <t xml:space="preserve">참고 : </t>
  </si>
  <si>
    <t>기술영업본부</t>
  </si>
  <si>
    <t xml:space="preserve">담당자 : </t>
  </si>
  <si>
    <t>김서해 주임</t>
  </si>
  <si>
    <t>등록번호</t>
  </si>
  <si>
    <t>679-86-02827</t>
  </si>
  <si>
    <t>사업장:</t>
  </si>
  <si>
    <t>(주)에코센스 귀하
아래와 같이 발주합니다.</t>
  </si>
  <si>
    <t>상호명(법인명)</t>
  </si>
  <si>
    <t>대표자</t>
  </si>
  <si>
    <t>김경수</t>
  </si>
  <si>
    <t>PH센서</t>
  </si>
  <si>
    <t>주소</t>
  </si>
  <si>
    <t>경상북도 고령군 대가야읍 낫질로 285</t>
  </si>
  <si>
    <t>차압계</t>
  </si>
  <si>
    <t>업태</t>
  </si>
  <si>
    <t>서비스업</t>
  </si>
  <si>
    <t>종목</t>
  </si>
  <si>
    <t>소프트웨어개발및판매</t>
  </si>
  <si>
    <t>온도계</t>
  </si>
  <si>
    <t>전화번호</t>
  </si>
  <si>
    <t>1661-5543</t>
  </si>
  <si>
    <t>팩스</t>
  </si>
  <si>
    <t>031-8077-2054</t>
  </si>
  <si>
    <t>배출CT</t>
  </si>
  <si>
    <t>방지시설 IoT</t>
  </si>
  <si>
    <t>단위</t>
  </si>
  <si>
    <t>수량</t>
  </si>
  <si>
    <t>단가(원)</t>
  </si>
  <si>
    <t>금액(원)</t>
  </si>
  <si>
    <t>비고</t>
  </si>
  <si>
    <t>방지CT</t>
  </si>
  <si>
    <t>G/W(3,4CH)</t>
  </si>
  <si>
    <t>구분</t>
  </si>
  <si>
    <t>CT</t>
  </si>
  <si>
    <t>2CH GW</t>
  </si>
  <si>
    <t>계측보드</t>
  </si>
  <si>
    <t>VPN</t>
  </si>
  <si>
    <t>G/W(1,2CH)</t>
  </si>
  <si>
    <t>총수량</t>
  </si>
  <si>
    <t>총 계</t>
  </si>
  <si>
    <t>원(부가세별도)</t>
  </si>
  <si>
    <t>필수 기입 / 체크(O) 사항</t>
  </si>
  <si>
    <t>no</t>
  </si>
  <si>
    <t>항목</t>
  </si>
  <si>
    <t>기입내용</t>
  </si>
  <si>
    <t>1</t>
  </si>
  <si>
    <t>설치(납품)희망일자</t>
  </si>
  <si>
    <t>2</t>
  </si>
  <si>
    <t>설치공장정보</t>
  </si>
  <si>
    <t>공장명</t>
  </si>
  <si>
    <t>담당자명</t>
  </si>
  <si>
    <t>연락처</t>
  </si>
  <si>
    <t>이메일</t>
  </si>
  <si>
    <t>(주)네패스 음성</t>
  </si>
  <si>
    <t>설치공장주소</t>
  </si>
  <si>
    <t>택배주소</t>
  </si>
  <si>
    <t>화성지점 : 경기도 화성시 팔탈면 푸른들판로 461-53, IoT관리부
김서해(010-4320-3521)</t>
  </si>
  <si>
    <t>3</t>
  </si>
  <si>
    <t>그린링크정보
(코드번호)</t>
  </si>
  <si>
    <t>사업장코드(숫자)</t>
  </si>
  <si>
    <t>송풍시설코드(F)</t>
  </si>
  <si>
    <t>방지시설코드(P)</t>
  </si>
  <si>
    <t>배출시설코드(E)</t>
  </si>
  <si>
    <t>그린링크 사이트 : www.greenlink.or.kr (발주 전 가입 진행 부탁드립니다.)</t>
  </si>
  <si>
    <t>4</t>
  </si>
  <si>
    <t>설치정보</t>
  </si>
  <si>
    <t>자체(고객)설치</t>
  </si>
  <si>
    <t>에코센스설치</t>
  </si>
  <si>
    <t>IoT 장치부착</t>
  </si>
  <si>
    <t>V</t>
  </si>
  <si>
    <t>케이블포설</t>
  </si>
  <si>
    <t>통신방식
(VPN社:시큐위즈)</t>
  </si>
  <si>
    <t>보안인증 NO. NISS-1019 / Secuway SSL U V2.0</t>
  </si>
  <si>
    <t>유선(랜선공사,
선 포설거리 60M 이내)</t>
  </si>
  <si>
    <t>무선
(매월 15,400원, VAT 포함)</t>
  </si>
  <si>
    <t>5</t>
  </si>
  <si>
    <t>CT(전류측정계)
사양(도선굵기)</t>
  </si>
  <si>
    <t>16L</t>
  </si>
  <si>
    <t>24L</t>
  </si>
  <si>
    <t>36L</t>
  </si>
  <si>
    <t>메인차단기 허용전류</t>
  </si>
  <si>
    <t>~200A미만</t>
  </si>
  <si>
    <t>200A이상 ~ 300A미만</t>
  </si>
  <si>
    <t>300A이상 ~ 600A미만</t>
  </si>
  <si>
    <t>방지시설</t>
  </si>
  <si>
    <t>배출시설</t>
  </si>
  <si>
    <t>6</t>
  </si>
  <si>
    <t>온도센서타입</t>
  </si>
  <si>
    <t>프렌지타입</t>
  </si>
  <si>
    <t>니플(소켓)타입</t>
  </si>
  <si>
    <t>7</t>
  </si>
  <si>
    <t>온도센서길이</t>
  </si>
  <si>
    <t>10cm</t>
  </si>
  <si>
    <t>20cm</t>
  </si>
  <si>
    <t>40cm</t>
  </si>
  <si>
    <t>8</t>
  </si>
  <si>
    <t>PH 인디게이터 부착위치</t>
  </si>
  <si>
    <t>방지시설판넬(타공)</t>
  </si>
  <si>
    <t>독립형하이박스부착</t>
  </si>
  <si>
    <t>해당없음</t>
  </si>
  <si>
    <t>9</t>
  </si>
  <si>
    <t>결제조건
* 세금계산 발행 후 7일 이내</t>
  </si>
  <si>
    <t>선금5(발주기준)/
잔금5(납품완료기준)</t>
  </si>
  <si>
    <t>납품 후 완납
(납품완료기준)</t>
  </si>
  <si>
    <t>기타사항</t>
  </si>
  <si>
    <t>선입금</t>
  </si>
  <si>
    <t>이름</t>
  </si>
  <si>
    <t>발주담당</t>
  </si>
  <si>
    <t>세금계산서담당</t>
  </si>
  <si>
    <t>010-2758-4273</t>
  </si>
  <si>
    <t>gong4900@naver.com</t>
  </si>
  <si>
    <t>특이사항</t>
  </si>
  <si>
    <r>
      <rPr>
        <b/>
        <sz val="10"/>
        <color rgb="FF0000C0"/>
        <rFont val="Malgun Gothic"/>
        <family val="3"/>
        <charset val="129"/>
      </rPr>
      <t xml:space="preserve">무선으로 설치 시 </t>
    </r>
    <r>
      <rPr>
        <b/>
        <sz val="10"/>
        <color rgb="FFFF0000"/>
        <rFont val="맑은 고딕"/>
        <family val="3"/>
        <charset val="129"/>
      </rPr>
      <t>명의이전동의서</t>
    </r>
    <r>
      <rPr>
        <b/>
        <sz val="10"/>
        <color rgb="FF0000C0"/>
        <rFont val="맑은 고딕"/>
        <family val="3"/>
        <charset val="129"/>
      </rPr>
      <t xml:space="preserve"> 작성 필수.
현장 상황에 따라 지게차, 스카이차 등 장비 필요 시 지원요망.</t>
    </r>
  </si>
  <si>
    <t>* 온도계 타입 (15A 5K-기본사양, 덕트 크기에 따라 온도계 센서길이가 달라짐)</t>
  </si>
  <si>
    <t>니플타입 (용접, 15mm 너트 필요)</t>
  </si>
  <si>
    <t>프렌지 타입 (대응프렌지 설치요망)</t>
  </si>
  <si>
    <t>* pH인디게이터 타입</t>
  </si>
  <si>
    <t>독립형 하이박스 (200*300*200)</t>
  </si>
  <si>
    <t>방지시설 판넬 (타공 필요)</t>
  </si>
  <si>
    <t>연번</t>
  </si>
  <si>
    <t>품목</t>
  </si>
  <si>
    <t>총판가('25.03)</t>
  </si>
  <si>
    <t>24년도 단가</t>
  </si>
  <si>
    <t>PH계보상</t>
  </si>
  <si>
    <t>차압계(방폭)</t>
  </si>
  <si>
    <t>온도계(방폭)</t>
  </si>
  <si>
    <t>확장디바이스</t>
  </si>
  <si>
    <t>CTM</t>
  </si>
  <si>
    <t>SD카드</t>
  </si>
  <si>
    <t>1CH GW</t>
  </si>
  <si>
    <t>1CH GW(VPN유선)</t>
  </si>
  <si>
    <t>1CH GW(VPN무선)</t>
  </si>
  <si>
    <t>SUS재질_1CH GW(VPN유선)</t>
  </si>
  <si>
    <t>SUS재질_1CH GW(VPN무선)</t>
  </si>
  <si>
    <t>2CH GW(VPN유선)</t>
  </si>
  <si>
    <t>2CH GW(VPN무선)</t>
  </si>
  <si>
    <t>SUS재질_2CH GW(VPN유선)</t>
  </si>
  <si>
    <t>SUS재질_2CH GW(VPN무선)</t>
  </si>
  <si>
    <t>3CH GW</t>
  </si>
  <si>
    <t>3CH GW(VPN유선)</t>
  </si>
  <si>
    <t>3CH GW(VPN무선)</t>
  </si>
  <si>
    <t>SUS재질_3CH GW(VPN유선)</t>
  </si>
  <si>
    <t>SUS재질_3CH GW(VPN무선)</t>
  </si>
  <si>
    <t>4CH GW</t>
  </si>
  <si>
    <t>4CH GW(VPN유선)</t>
  </si>
  <si>
    <t>4CH GW(VPN무선)</t>
  </si>
  <si>
    <t>SUS재질_4CH GW(VPN유선)</t>
  </si>
  <si>
    <t>SUS재질_4CH GW(VPN무선)</t>
  </si>
  <si>
    <t>소계</t>
  </si>
  <si>
    <t>합계</t>
  </si>
  <si>
    <t>E-MAIL</t>
  </si>
  <si>
    <t>황근석 부장</t>
  </si>
  <si>
    <t>010-5158-0766</t>
  </si>
  <si>
    <t>marinserver07@gmail.com</t>
  </si>
  <si>
    <t>최문호 차장</t>
  </si>
  <si>
    <t>010-6359-0521</t>
  </si>
  <si>
    <t>mhc853@gmail.com</t>
  </si>
  <si>
    <t>박성민 과장</t>
  </si>
  <si>
    <t>010-4031-4858</t>
  </si>
  <si>
    <t>psm19911@naver.com</t>
  </si>
  <si>
    <t>손병준 과장</t>
  </si>
  <si>
    <t>010-4475-3130</t>
  </si>
  <si>
    <t>revir66@naver.com</t>
  </si>
  <si>
    <t>박지영 과장</t>
  </si>
  <si>
    <t>010-5694-6964</t>
  </si>
  <si>
    <t>hana01056946964@gmail.com</t>
  </si>
  <si>
    <t>이순희 과장</t>
  </si>
  <si>
    <t>010-7267-3651</t>
  </si>
  <si>
    <t>yjtech5543@naver.com</t>
  </si>
  <si>
    <t>최재윤 주임</t>
  </si>
  <si>
    <t>010-7519-6964</t>
  </si>
  <si>
    <t>nobrand48@naver.com</t>
  </si>
  <si>
    <t>010-4320-3521</t>
  </si>
  <si>
    <t>seoh1523@gmail.com</t>
  </si>
  <si>
    <t>담당자</t>
  </si>
  <si>
    <t>배송지</t>
  </si>
  <si>
    <t>오희경</t>
  </si>
  <si>
    <t>010-8224-0478</t>
  </si>
  <si>
    <t>유천포스코더샾
대구광역시 달서구 달서대로 67, 103동 2101호
오희경 실장(010-8224-0478)</t>
  </si>
  <si>
    <t>강영준</t>
  </si>
  <si>
    <t>010-3819-6875</t>
  </si>
  <si>
    <t>도깨비밥통 
주소 : 대구 남구 봉덕로 21길48. 도깨비밥통강영준 010-3819-6875</t>
  </si>
  <si>
    <t>옥유준</t>
  </si>
  <si>
    <t>010-3691-6208</t>
  </si>
  <si>
    <t>부산광역시 사하구다대로470 
다대해송아파트 101동704호 
옥유준 (010-3691-6208)</t>
  </si>
  <si>
    <t>옥유준(경동택배)</t>
  </si>
  <si>
    <t>경동택배 부산사하장림 1090 영업소
부산광역시 사하구 다산로226번길 32
 옥유준 (010-3691-6208)</t>
  </si>
  <si>
    <t>박성민</t>
  </si>
  <si>
    <t>수원지점 : 경기도 수원시 매영로 252, 2층 IoT 영업부
박성민(010-4031-4858)</t>
  </si>
  <si>
    <t>최문호</t>
  </si>
  <si>
    <t>010-4953-1019</t>
  </si>
  <si>
    <t>화성지점 : 경기도 화성시 팔탈면 푸른들판로 461-53, IoT관리부
최문호(010-6359-0521)</t>
  </si>
  <si>
    <t>편진근</t>
  </si>
  <si>
    <t>010-7506-9450</t>
  </si>
  <si>
    <t>화성지점 : 경기도 화성시 팔탈면 푸른들판로 461-53, IoT관리부
편진근(010-7506-9450)</t>
  </si>
  <si>
    <t>김서해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</si>
</sst>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\-mm\-dd"/>
    <numFmt numFmtId="177" formatCode="_-* #,##0_-;\-* #,##0_-;_-* &quot;-&quot;_-;_-@"/>
    <numFmt numFmtId="178" formatCode="0_);[Red]\(0\)"/>
    <numFmt numFmtId="179" formatCode="&quot;F&quot;0000;;&quot;무동력&quot;"/>
    <numFmt numFmtId="180" formatCode="&quot;P&quot;0000;;&quot;무동력&quot;"/>
    <numFmt numFmtId="181" formatCode="&quot;E&quot;0000;;&quot;무동력&quot;"/>
    <numFmt numFmtId="182" formatCode="0&quot;EA&quot;"/>
  </numFmts>
  <fonts count="21">
    <font>
      <sz val="11"/>
      <color theme="1"/>
      <name val="Calibri"/>
      <scheme val="minor"/>
    </font>
    <font>
      <b/>
      <u/>
      <sz val="24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Calibri"/>
      <scheme val="minor"/>
    </font>
    <font>
      <sz val="8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4"/>
      <color theme="0"/>
      <name val="Malgun Gothic"/>
      <family val="3"/>
      <charset val="129"/>
    </font>
    <font>
      <sz val="10"/>
      <color rgb="FF000000"/>
      <name val="&quot;Malgun Gothic&quot;"/>
    </font>
    <font>
      <b/>
      <sz val="10"/>
      <color rgb="FF0000C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color rgb="FF0000FF"/>
      <name val="Malgun Gothic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C0"/>
      <name val="맑은 고딕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1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81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82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177" fontId="2" fillId="6" borderId="17" xfId="0" applyNumberFormat="1" applyFont="1" applyFill="1" applyBorder="1" applyAlignment="1">
      <alignment vertical="center"/>
    </xf>
    <xf numFmtId="3" fontId="2" fillId="6" borderId="17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9" fontId="7" fillId="0" borderId="4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182" fontId="6" fillId="0" borderId="4" xfId="0" applyNumberFormat="1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82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8" fontId="6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6" fillId="3" borderId="4" xfId="0" applyNumberFormat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78" fontId="6" fillId="3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57</xdr:row>
      <xdr:rowOff>95250</xdr:rowOff>
    </xdr:from>
    <xdr:ext cx="2724150" cy="2190750"/>
    <xdr:pic>
      <xdr:nvPicPr>
        <xdr:cNvPr id="2" name="image4.png" descr="EMB000040c039a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47625</xdr:colOff>
      <xdr:row>57</xdr:row>
      <xdr:rowOff>114300</xdr:rowOff>
    </xdr:from>
    <xdr:ext cx="2838450" cy="2152650"/>
    <xdr:pic>
      <xdr:nvPicPr>
        <xdr:cNvPr id="3" name="image3.png" descr="EMB000040c039a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61</xdr:row>
      <xdr:rowOff>85725</xdr:rowOff>
    </xdr:from>
    <xdr:ext cx="2714625" cy="2200275"/>
    <xdr:pic>
      <xdr:nvPicPr>
        <xdr:cNvPr id="4" name="image1.png" descr="EMB000040c039c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47625</xdr:colOff>
      <xdr:row>61</xdr:row>
      <xdr:rowOff>104775</xdr:rowOff>
    </xdr:from>
    <xdr:ext cx="2819400" cy="2152650"/>
    <xdr:pic>
      <xdr:nvPicPr>
        <xdr:cNvPr id="5" name="image5.png" descr="EMB000040c039c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114300</xdr:colOff>
      <xdr:row>0</xdr:row>
      <xdr:rowOff>219075</xdr:rowOff>
    </xdr:from>
    <xdr:ext cx="638175" cy="647700"/>
    <xdr:pic>
      <xdr:nvPicPr>
        <xdr:cNvPr id="6" name="image2.png" title="이미지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5"/>
  <sheetViews>
    <sheetView showGridLines="0" tabSelected="1" topLeftCell="A2" workbookViewId="0">
      <selection activeCell="AO11" sqref="AO11:AX11"/>
    </sheetView>
  </sheetViews>
  <sheetFormatPr defaultColWidth="14.42578125" defaultRowHeight="15" customHeight="1"/>
  <cols>
    <col min="1" max="50" width="2" customWidth="1"/>
    <col min="51" max="51" width="4.85546875" hidden="1" customWidth="1"/>
    <col min="52" max="52" width="11.140625" hidden="1" customWidth="1"/>
    <col min="53" max="53" width="17.140625" hidden="1" customWidth="1"/>
  </cols>
  <sheetData>
    <row r="1" spans="1:53" ht="35.25" customHeight="1">
      <c r="A1" s="8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1"/>
      <c r="AZ1" s="1"/>
      <c r="BA1" s="1"/>
    </row>
    <row r="2" spans="1:53" ht="18.75" customHeight="1">
      <c r="A2" s="84" t="s">
        <v>1</v>
      </c>
      <c r="B2" s="62"/>
      <c r="C2" s="62"/>
      <c r="D2" s="62"/>
      <c r="E2" s="62"/>
      <c r="F2" s="85" t="s">
        <v>2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85" t="s">
        <v>3</v>
      </c>
      <c r="T2" s="62"/>
      <c r="U2" s="62"/>
      <c r="V2" s="62"/>
      <c r="W2" s="62"/>
      <c r="X2" s="62"/>
      <c r="Y2" s="62"/>
      <c r="Z2" s="62"/>
      <c r="AA2" s="84" t="s">
        <v>4</v>
      </c>
      <c r="AB2" s="62"/>
      <c r="AC2" s="62"/>
      <c r="AD2" s="62"/>
      <c r="AE2" s="62"/>
      <c r="AF2" s="85" t="s">
        <v>5</v>
      </c>
      <c r="AG2" s="62"/>
      <c r="AH2" s="62"/>
      <c r="AI2" s="62"/>
      <c r="AJ2" s="62"/>
      <c r="AK2" s="62"/>
      <c r="AL2" s="62"/>
      <c r="AM2" s="62"/>
      <c r="AN2" s="62"/>
      <c r="AO2" s="62"/>
      <c r="AP2" s="2"/>
      <c r="AQ2" s="2"/>
      <c r="AR2" s="2"/>
      <c r="AS2" s="2"/>
      <c r="AT2" s="2" t="s">
        <v>3</v>
      </c>
      <c r="AU2" s="2"/>
      <c r="AV2" s="2"/>
      <c r="AW2" s="2"/>
      <c r="AX2" s="2"/>
      <c r="AY2" s="2"/>
      <c r="AZ2" s="2"/>
      <c r="BA2" s="2"/>
    </row>
    <row r="3" spans="1:53" ht="18.75" customHeight="1">
      <c r="A3" s="84" t="s">
        <v>6</v>
      </c>
      <c r="B3" s="62"/>
      <c r="C3" s="62"/>
      <c r="D3" s="62"/>
      <c r="E3" s="62"/>
      <c r="F3" s="85" t="s">
        <v>7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84" t="s">
        <v>8</v>
      </c>
      <c r="AB3" s="62"/>
      <c r="AC3" s="62"/>
      <c r="AD3" s="62"/>
      <c r="AE3" s="62"/>
      <c r="AF3" s="86" t="s">
        <v>9</v>
      </c>
      <c r="AG3" s="77"/>
      <c r="AH3" s="77"/>
      <c r="AI3" s="77"/>
      <c r="AJ3" s="77"/>
      <c r="AK3" s="77"/>
      <c r="AL3" s="77"/>
      <c r="AM3" s="77"/>
      <c r="AN3" s="77"/>
      <c r="AO3" s="78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4.5" customHeight="1">
      <c r="A4" s="75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3"/>
      <c r="AZ4" s="3"/>
      <c r="BA4" s="3"/>
    </row>
    <row r="5" spans="1:53" ht="15" customHeight="1">
      <c r="A5" s="82">
        <f ca="1">TODAY()</f>
        <v>45965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3"/>
      <c r="O5" s="55" t="s">
        <v>10</v>
      </c>
      <c r="P5" s="42"/>
      <c r="Q5" s="42"/>
      <c r="R5" s="42"/>
      <c r="S5" s="42"/>
      <c r="T5" s="42"/>
      <c r="U5" s="42"/>
      <c r="V5" s="43"/>
      <c r="W5" s="57" t="s">
        <v>11</v>
      </c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3"/>
      <c r="AY5" s="4"/>
      <c r="AZ5" s="5" t="s">
        <v>12</v>
      </c>
      <c r="BA5" s="4" t="str">
        <f>$K$21&amp;"(보조금 동시진행)"</f>
        <v>(주)네패스 음성(보조금 동시진행)</v>
      </c>
    </row>
    <row r="6" spans="1:53" ht="15" customHeight="1">
      <c r="A6" s="87" t="s">
        <v>13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  <c r="O6" s="55" t="s">
        <v>14</v>
      </c>
      <c r="P6" s="42"/>
      <c r="Q6" s="42"/>
      <c r="R6" s="42"/>
      <c r="S6" s="42"/>
      <c r="T6" s="42"/>
      <c r="U6" s="42"/>
      <c r="V6" s="43"/>
      <c r="W6" s="57" t="s">
        <v>5</v>
      </c>
      <c r="X6" s="42"/>
      <c r="Y6" s="42"/>
      <c r="Z6" s="42"/>
      <c r="AA6" s="42"/>
      <c r="AB6" s="42"/>
      <c r="AC6" s="42"/>
      <c r="AD6" s="42"/>
      <c r="AE6" s="42"/>
      <c r="AF6" s="43"/>
      <c r="AG6" s="55" t="s">
        <v>15</v>
      </c>
      <c r="AH6" s="42"/>
      <c r="AI6" s="42"/>
      <c r="AJ6" s="42"/>
      <c r="AK6" s="42"/>
      <c r="AL6" s="42"/>
      <c r="AM6" s="42"/>
      <c r="AN6" s="43"/>
      <c r="AO6" s="57" t="s">
        <v>16</v>
      </c>
      <c r="AP6" s="42"/>
      <c r="AQ6" s="42"/>
      <c r="AR6" s="42"/>
      <c r="AS6" s="42"/>
      <c r="AT6" s="42"/>
      <c r="AU6" s="42"/>
      <c r="AV6" s="42"/>
      <c r="AW6" s="42"/>
      <c r="AX6" s="43"/>
      <c r="AY6" s="4"/>
      <c r="AZ6" s="5" t="s">
        <v>17</v>
      </c>
      <c r="BA6" s="4" t="str">
        <f ca="1">IFERROR(__xludf.DUMMYFUNCTION("IFERROR(
  XLOOKUP(
    $BA$5,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MATCH(AZ6, INDEX(IMPORTRANGE(""https://docs.google.com/spreadsheets/d/1aJ8iXnyM-JhRgpO9l17mkDq2_VFDRDluD053wxjOUCM/edit"", ""'2. 25년 관리DB'!A1:BV1""), 1, ), 0)
    )
  ),
  """"
)
"),"")</f>
        <v/>
      </c>
    </row>
    <row r="7" spans="1:53" ht="15" customHeight="1">
      <c r="A7" s="67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8"/>
      <c r="O7" s="55" t="s">
        <v>18</v>
      </c>
      <c r="P7" s="42"/>
      <c r="Q7" s="42"/>
      <c r="R7" s="42"/>
      <c r="S7" s="42"/>
      <c r="T7" s="42"/>
      <c r="U7" s="42"/>
      <c r="V7" s="43"/>
      <c r="W7" s="57" t="s">
        <v>19</v>
      </c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3"/>
      <c r="AY7" s="4"/>
      <c r="AZ7" s="5" t="s">
        <v>20</v>
      </c>
      <c r="BA7" s="4" t="str">
        <f ca="1">IFERROR(__xludf.DUMMYFUNCTION("IFERROR(
  XLOOKUP(
    $BA$5,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MATCH(AZ7, INDEX(IMPORTRANGE(""https://docs.google.com/spreadsheets/d/1aJ8iXnyM-JhRgpO9l17mkDq2_VFDRDluD053wxjOUCM/edit"", ""'2. 25년 관리DB'!A1:BV1""), 1, ), 0)
    )
  ),
  """"
)
"),"")</f>
        <v/>
      </c>
    </row>
    <row r="8" spans="1:53" ht="15" customHeight="1">
      <c r="A8" s="67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8"/>
      <c r="O8" s="55" t="s">
        <v>21</v>
      </c>
      <c r="P8" s="42"/>
      <c r="Q8" s="42"/>
      <c r="R8" s="42"/>
      <c r="S8" s="42"/>
      <c r="T8" s="42"/>
      <c r="U8" s="42"/>
      <c r="V8" s="43"/>
      <c r="W8" s="57" t="s">
        <v>22</v>
      </c>
      <c r="X8" s="42"/>
      <c r="Y8" s="42"/>
      <c r="Z8" s="42"/>
      <c r="AA8" s="42"/>
      <c r="AB8" s="42"/>
      <c r="AC8" s="42"/>
      <c r="AD8" s="42"/>
      <c r="AE8" s="42"/>
      <c r="AF8" s="43"/>
      <c r="AG8" s="55" t="s">
        <v>23</v>
      </c>
      <c r="AH8" s="42"/>
      <c r="AI8" s="42"/>
      <c r="AJ8" s="42"/>
      <c r="AK8" s="42"/>
      <c r="AL8" s="42"/>
      <c r="AM8" s="42"/>
      <c r="AN8" s="43"/>
      <c r="AO8" s="57" t="s">
        <v>24</v>
      </c>
      <c r="AP8" s="42"/>
      <c r="AQ8" s="42"/>
      <c r="AR8" s="42"/>
      <c r="AS8" s="42"/>
      <c r="AT8" s="42"/>
      <c r="AU8" s="42"/>
      <c r="AV8" s="42"/>
      <c r="AW8" s="42"/>
      <c r="AX8" s="43"/>
      <c r="AY8" s="4"/>
      <c r="AZ8" s="5" t="s">
        <v>25</v>
      </c>
      <c r="BA8" s="4" t="str">
        <f ca="1">IFERROR(__xludf.DUMMYFUNCTION("IFERROR(
  XLOOKUP(
    $BA$5,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MATCH(AZ8, INDEX(IMPORTRANGE(""https://docs.google.com/spreadsheets/d/1aJ8iXnyM-JhRgpO9l17mkDq2_VFDRDluD053wxjOUCM/edit"", ""'2. 25년 관리DB'!A1:BV1""), 1, ), 0)
    )
  ),
  """"
)
"),"")</f>
        <v/>
      </c>
    </row>
    <row r="9" spans="1:53" ht="15" customHeight="1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O9" s="55" t="s">
        <v>26</v>
      </c>
      <c r="P9" s="42"/>
      <c r="Q9" s="42"/>
      <c r="R9" s="42"/>
      <c r="S9" s="42"/>
      <c r="T9" s="42"/>
      <c r="U9" s="42"/>
      <c r="V9" s="43"/>
      <c r="W9" s="57" t="s">
        <v>27</v>
      </c>
      <c r="X9" s="42"/>
      <c r="Y9" s="42"/>
      <c r="Z9" s="42"/>
      <c r="AA9" s="42"/>
      <c r="AB9" s="42"/>
      <c r="AC9" s="42"/>
      <c r="AD9" s="42"/>
      <c r="AE9" s="42"/>
      <c r="AF9" s="43"/>
      <c r="AG9" s="55" t="s">
        <v>28</v>
      </c>
      <c r="AH9" s="42"/>
      <c r="AI9" s="42"/>
      <c r="AJ9" s="42"/>
      <c r="AK9" s="42"/>
      <c r="AL9" s="42"/>
      <c r="AM9" s="42"/>
      <c r="AN9" s="43"/>
      <c r="AO9" s="57" t="s">
        <v>29</v>
      </c>
      <c r="AP9" s="42"/>
      <c r="AQ9" s="42"/>
      <c r="AR9" s="42"/>
      <c r="AS9" s="42"/>
      <c r="AT9" s="42"/>
      <c r="AU9" s="42"/>
      <c r="AV9" s="42"/>
      <c r="AW9" s="42"/>
      <c r="AX9" s="43"/>
      <c r="AY9" s="4"/>
      <c r="AZ9" s="5" t="s">
        <v>30</v>
      </c>
      <c r="BA9" s="4">
        <f ca="1">IFERROR(__xludf.DUMMYFUNCTION("LET(
  url, ""https://docs.google.com/spreadsheets/d/1aJ8iXnyM-JhRgpO9l17mkDq2_VFDRDluD053wxjOUCM/edit"",
  시트, ""'2. 25년 관리DB'!"",
  본문, IMPORTRANGE(url, 시트 &amp; ""A:BV""),
  헤더, INDEX(본문, 1, ),
  사업장열, MATCH(""사업장명"", 헤더, 0),
  배출열, MATCH(""배출전류계"", 헤더, 0)"&amp;",
  기준값, $BA$5,
  사업장범위, INDEX(본문, , 사업장열),
  배출값, IFERROR(XLOOKUP(기준값, 사업장범위, INDEX(본문, , 배출열)), 0),
  배출값
)
"),0)</f>
        <v>0</v>
      </c>
    </row>
    <row r="10" spans="1:53" ht="15" customHeight="1">
      <c r="A10" s="48" t="s">
        <v>31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8" t="s">
        <v>32</v>
      </c>
      <c r="N10" s="42"/>
      <c r="O10" s="42"/>
      <c r="P10" s="42"/>
      <c r="Q10" s="42"/>
      <c r="R10" s="43"/>
      <c r="S10" s="48" t="s">
        <v>33</v>
      </c>
      <c r="T10" s="42"/>
      <c r="U10" s="42"/>
      <c r="V10" s="42"/>
      <c r="W10" s="42"/>
      <c r="X10" s="43"/>
      <c r="Y10" s="48" t="s">
        <v>34</v>
      </c>
      <c r="Z10" s="42"/>
      <c r="AA10" s="42"/>
      <c r="AB10" s="42"/>
      <c r="AC10" s="42"/>
      <c r="AD10" s="42"/>
      <c r="AE10" s="42"/>
      <c r="AF10" s="43"/>
      <c r="AG10" s="48" t="s">
        <v>35</v>
      </c>
      <c r="AH10" s="42"/>
      <c r="AI10" s="42"/>
      <c r="AJ10" s="42"/>
      <c r="AK10" s="42"/>
      <c r="AL10" s="42"/>
      <c r="AM10" s="42"/>
      <c r="AN10" s="43"/>
      <c r="AO10" s="48" t="s">
        <v>36</v>
      </c>
      <c r="AP10" s="42"/>
      <c r="AQ10" s="42"/>
      <c r="AR10" s="42"/>
      <c r="AS10" s="42"/>
      <c r="AT10" s="42"/>
      <c r="AU10" s="42"/>
      <c r="AV10" s="42"/>
      <c r="AW10" s="42"/>
      <c r="AX10" s="43"/>
      <c r="AY10" s="6"/>
      <c r="AZ10" s="7" t="s">
        <v>37</v>
      </c>
      <c r="BA10" s="4">
        <f ca="1">IFERROR(__xludf.DUMMYFUNCTION("LET(
  url, ""https://docs.google.com/spreadsheets/d/1aJ8iXnyM-JhRgpO9l17mkDq2_VFDRDluD053wxjOUCM/edit"",
  시트, ""'2. 25년 관리DB'!"",
  본문, IMPORTRANGE(url, 시트 &amp; ""A:BV""),
  헤더, INDEX(본문, 1, ),
  사업장열, MATCH(""사업장명"", 헤더, 0),
  송풍열, MATCH(""송풍전류계"", 헤더, 0)"&amp;",
  펌프열, MATCH(""펌프전류계"", 헤더, 0),
  기준값, $BA$5,
  사업장범위, INDEX(본문, , 사업장열),
  송풍값, IFERROR(XLOOKUP(기준값, 사업장범위, INDEX(본문, , 송풍열)), 0),
  펌프값, IFERROR(XLOOKUP(기준값, 사업장범위, INDEX(본문, , 펌프열)), 0),
  송풍값 + 펌프값
)
"),0)</f>
        <v>0</v>
      </c>
    </row>
    <row r="11" spans="1:53" ht="15" customHeight="1">
      <c r="A11" s="57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  <c r="M11" s="57"/>
      <c r="N11" s="42"/>
      <c r="O11" s="42"/>
      <c r="P11" s="42"/>
      <c r="Q11" s="42"/>
      <c r="R11" s="43"/>
      <c r="S11" s="57"/>
      <c r="T11" s="42"/>
      <c r="U11" s="42"/>
      <c r="V11" s="42"/>
      <c r="W11" s="42"/>
      <c r="X11" s="43"/>
      <c r="Y11" s="57"/>
      <c r="Z11" s="42"/>
      <c r="AA11" s="42"/>
      <c r="AB11" s="42"/>
      <c r="AC11" s="42"/>
      <c r="AD11" s="42"/>
      <c r="AE11" s="42"/>
      <c r="AF11" s="43"/>
      <c r="AG11" s="57"/>
      <c r="AH11" s="42"/>
      <c r="AI11" s="42"/>
      <c r="AJ11" s="42"/>
      <c r="AK11" s="42"/>
      <c r="AL11" s="42"/>
      <c r="AM11" s="42"/>
      <c r="AN11" s="43"/>
      <c r="AO11" s="57"/>
      <c r="AP11" s="42"/>
      <c r="AQ11" s="42"/>
      <c r="AR11" s="42"/>
      <c r="AS11" s="42"/>
      <c r="AT11" s="42"/>
      <c r="AU11" s="42"/>
      <c r="AV11" s="42"/>
      <c r="AW11" s="42"/>
      <c r="AX11" s="43"/>
      <c r="AY11" s="4"/>
      <c r="AZ11" s="8" t="s">
        <v>38</v>
      </c>
      <c r="BA11" s="4" t="str">
        <f ca="1">IFERROR(__xludf.DUMMYFUNCTION("IFERROR(
  XLOOKUP(
    $BA$5,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MATCH(AZ11, INDEX(IMPORTRANGE(""https://docs.google.com/spreadsheets/d/1aJ8iXnyM-JhRgpO9l17mkDq2_VFDRDluD053wxjOUCM/edit"", ""'2. 25년 관리DB'!A1:BV1""), 1, ), 0)
    )
  ),
  """"
)
"),"")</f>
        <v/>
      </c>
    </row>
    <row r="12" spans="1:53" ht="15" customHeight="1">
      <c r="A12" s="69" t="s">
        <v>39</v>
      </c>
      <c r="B12" s="42"/>
      <c r="C12" s="42"/>
      <c r="D12" s="42"/>
      <c r="E12" s="42"/>
      <c r="F12" s="42"/>
      <c r="G12" s="43"/>
      <c r="H12" s="69" t="s">
        <v>17</v>
      </c>
      <c r="I12" s="42"/>
      <c r="J12" s="42"/>
      <c r="K12" s="42"/>
      <c r="L12" s="42"/>
      <c r="M12" s="43"/>
      <c r="N12" s="69" t="s">
        <v>20</v>
      </c>
      <c r="O12" s="42"/>
      <c r="P12" s="42"/>
      <c r="Q12" s="42"/>
      <c r="R12" s="42"/>
      <c r="S12" s="43"/>
      <c r="T12" s="69" t="s">
        <v>25</v>
      </c>
      <c r="U12" s="42"/>
      <c r="V12" s="42"/>
      <c r="W12" s="42"/>
      <c r="X12" s="42"/>
      <c r="Y12" s="43"/>
      <c r="Z12" s="69" t="s">
        <v>40</v>
      </c>
      <c r="AA12" s="42"/>
      <c r="AB12" s="42"/>
      <c r="AC12" s="42"/>
      <c r="AD12" s="42"/>
      <c r="AE12" s="43"/>
      <c r="AF12" s="69" t="s">
        <v>41</v>
      </c>
      <c r="AG12" s="42"/>
      <c r="AH12" s="42"/>
      <c r="AI12" s="42"/>
      <c r="AJ12" s="42"/>
      <c r="AK12" s="43"/>
      <c r="AL12" s="69" t="s">
        <v>42</v>
      </c>
      <c r="AM12" s="42"/>
      <c r="AN12" s="42"/>
      <c r="AO12" s="42"/>
      <c r="AP12" s="42"/>
      <c r="AQ12" s="43"/>
      <c r="AR12" s="69" t="s">
        <v>43</v>
      </c>
      <c r="AS12" s="42"/>
      <c r="AT12" s="42"/>
      <c r="AU12" s="42"/>
      <c r="AV12" s="42"/>
      <c r="AW12" s="42"/>
      <c r="AX12" s="43"/>
      <c r="AY12" s="9"/>
      <c r="AZ12" s="8" t="s">
        <v>44</v>
      </c>
      <c r="BA12" s="4" t="str">
        <f ca="1">IFERROR(__xludf.DUMMYFUNCTION("IFERROR(
  XLOOKUP(
    $BA$5,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MATCH(AZ12, INDEX(IMPORTRANGE(""https://docs.google.com/spreadsheets/d/1aJ8iXnyM-JhRgpO9l17mkDq2_VFDRDluD053wxjOUCM/edit"", ""'2. 25년 관리DB'!A1:BV1""), 1, ), 0)
    )
  ),
  """"
)
"),"")</f>
        <v/>
      </c>
    </row>
    <row r="13" spans="1:53" ht="15" customHeight="1">
      <c r="A13" s="55" t="s">
        <v>45</v>
      </c>
      <c r="B13" s="42"/>
      <c r="C13" s="42"/>
      <c r="D13" s="42"/>
      <c r="E13" s="42"/>
      <c r="F13" s="42"/>
      <c r="G13" s="43"/>
      <c r="H13" s="70">
        <v>1</v>
      </c>
      <c r="I13" s="42"/>
      <c r="J13" s="42"/>
      <c r="K13" s="42"/>
      <c r="L13" s="42"/>
      <c r="M13" s="43"/>
      <c r="N13" s="70">
        <v>1</v>
      </c>
      <c r="O13" s="42"/>
      <c r="P13" s="42"/>
      <c r="Q13" s="42"/>
      <c r="R13" s="42"/>
      <c r="S13" s="43"/>
      <c r="T13" s="70">
        <v>1</v>
      </c>
      <c r="U13" s="42"/>
      <c r="V13" s="42"/>
      <c r="W13" s="42"/>
      <c r="X13" s="42"/>
      <c r="Y13" s="43"/>
      <c r="Z13" s="71">
        <v>14</v>
      </c>
      <c r="AA13" s="42"/>
      <c r="AB13" s="42"/>
      <c r="AC13" s="42"/>
      <c r="AD13" s="42"/>
      <c r="AE13" s="43"/>
      <c r="AF13" s="71">
        <v>0</v>
      </c>
      <c r="AG13" s="42"/>
      <c r="AH13" s="42"/>
      <c r="AI13" s="42"/>
      <c r="AJ13" s="42"/>
      <c r="AK13" s="43"/>
      <c r="AL13" s="71">
        <v>1</v>
      </c>
      <c r="AM13" s="42"/>
      <c r="AN13" s="42"/>
      <c r="AO13" s="42"/>
      <c r="AP13" s="42"/>
      <c r="AQ13" s="43"/>
      <c r="AR13" s="63">
        <v>0</v>
      </c>
      <c r="AS13" s="42"/>
      <c r="AT13" s="42"/>
      <c r="AU13" s="42"/>
      <c r="AV13" s="42"/>
      <c r="AW13" s="42"/>
      <c r="AX13" s="43"/>
      <c r="AY13" s="10"/>
      <c r="AZ13" s="11" t="s">
        <v>43</v>
      </c>
      <c r="BA13" s="4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MATCH(AZ13, INDEX(IMPORTRANGE(""https://docs.google.com/spreadsheets/d/1aJ8iXnyM-JhRgpO9l17mkDq2_VFDRDluD053wxjOUCM/edit"", ""'2. 25년 관리DB'!A1:BV1""), 1, ), 0)
    )
  ),
  """"
)
"),"2. 유선")</f>
        <v>2. 유선</v>
      </c>
    </row>
    <row r="14" spans="1:53" ht="15" customHeight="1">
      <c r="A14" s="88" t="s">
        <v>46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N14" s="73">
        <f>단가!B34</f>
        <v>2070000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74"/>
      <c r="AL14" s="72" t="s">
        <v>47</v>
      </c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3"/>
      <c r="AY14" s="12"/>
      <c r="AZ14" s="12"/>
      <c r="BA14" s="12"/>
    </row>
    <row r="15" spans="1:53" ht="4.5" customHeight="1">
      <c r="A15" s="75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3"/>
      <c r="AZ15" s="3"/>
      <c r="BA15" s="3"/>
    </row>
    <row r="16" spans="1:53" ht="20.25" customHeight="1">
      <c r="A16" s="76" t="s">
        <v>48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13"/>
      <c r="AZ16" s="13"/>
      <c r="BA16" s="13"/>
    </row>
    <row r="17" spans="1:53" ht="4.5" customHeight="1">
      <c r="A17" s="75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3"/>
      <c r="AZ17" s="3"/>
      <c r="BA17" s="3"/>
    </row>
    <row r="18" spans="1:53" ht="15" customHeight="1">
      <c r="A18" s="79" t="s">
        <v>49</v>
      </c>
      <c r="B18" s="42"/>
      <c r="C18" s="43"/>
      <c r="D18" s="48" t="s">
        <v>50</v>
      </c>
      <c r="E18" s="42"/>
      <c r="F18" s="42"/>
      <c r="G18" s="42"/>
      <c r="H18" s="42"/>
      <c r="I18" s="42"/>
      <c r="J18" s="43"/>
      <c r="K18" s="48" t="s">
        <v>51</v>
      </c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3"/>
      <c r="AY18" s="6"/>
      <c r="AZ18" s="6"/>
      <c r="BA18" s="6"/>
    </row>
    <row r="19" spans="1:53" ht="15" customHeight="1">
      <c r="A19" s="81" t="s">
        <v>52</v>
      </c>
      <c r="B19" s="42"/>
      <c r="C19" s="43"/>
      <c r="D19" s="48" t="s">
        <v>53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82">
        <f ca="1">A5+7</f>
        <v>45972</v>
      </c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3"/>
      <c r="AY19" s="14"/>
      <c r="AZ19" s="14"/>
      <c r="BA19" s="14"/>
    </row>
    <row r="20" spans="1:53" ht="15" customHeight="1">
      <c r="A20" s="58" t="s">
        <v>54</v>
      </c>
      <c r="B20" s="50"/>
      <c r="C20" s="51"/>
      <c r="D20" s="49" t="s">
        <v>55</v>
      </c>
      <c r="E20" s="50"/>
      <c r="F20" s="50"/>
      <c r="G20" s="50"/>
      <c r="H20" s="50"/>
      <c r="I20" s="50"/>
      <c r="J20" s="51"/>
      <c r="K20" s="48" t="s">
        <v>56</v>
      </c>
      <c r="L20" s="42"/>
      <c r="M20" s="42"/>
      <c r="N20" s="42"/>
      <c r="O20" s="42"/>
      <c r="P20" s="42"/>
      <c r="Q20" s="42"/>
      <c r="R20" s="42"/>
      <c r="S20" s="42"/>
      <c r="T20" s="43"/>
      <c r="U20" s="48" t="s">
        <v>57</v>
      </c>
      <c r="V20" s="42"/>
      <c r="W20" s="42"/>
      <c r="X20" s="42"/>
      <c r="Y20" s="42"/>
      <c r="Z20" s="42"/>
      <c r="AA20" s="42"/>
      <c r="AB20" s="42"/>
      <c r="AC20" s="42"/>
      <c r="AD20" s="43"/>
      <c r="AE20" s="48" t="s">
        <v>58</v>
      </c>
      <c r="AF20" s="42"/>
      <c r="AG20" s="42"/>
      <c r="AH20" s="42"/>
      <c r="AI20" s="42"/>
      <c r="AJ20" s="42"/>
      <c r="AK20" s="42"/>
      <c r="AL20" s="42"/>
      <c r="AM20" s="42"/>
      <c r="AN20" s="43"/>
      <c r="AO20" s="48" t="s">
        <v>59</v>
      </c>
      <c r="AP20" s="42"/>
      <c r="AQ20" s="42"/>
      <c r="AR20" s="42"/>
      <c r="AS20" s="42"/>
      <c r="AT20" s="42"/>
      <c r="AU20" s="42"/>
      <c r="AV20" s="42"/>
      <c r="AW20" s="42"/>
      <c r="AX20" s="43"/>
      <c r="AY20" s="6"/>
      <c r="AZ20" s="6"/>
      <c r="BA20" s="6"/>
    </row>
    <row r="21" spans="1:53" ht="39" customHeight="1">
      <c r="A21" s="67"/>
      <c r="B21" s="62"/>
      <c r="C21" s="68"/>
      <c r="D21" s="67"/>
      <c r="E21" s="62"/>
      <c r="F21" s="62"/>
      <c r="G21" s="62"/>
      <c r="H21" s="62"/>
      <c r="I21" s="62"/>
      <c r="J21" s="68"/>
      <c r="K21" s="80" t="s">
        <v>60</v>
      </c>
      <c r="L21" s="53"/>
      <c r="M21" s="53"/>
      <c r="N21" s="53"/>
      <c r="O21" s="53"/>
      <c r="P21" s="53"/>
      <c r="Q21" s="53"/>
      <c r="R21" s="53"/>
      <c r="S21" s="53"/>
      <c r="T21" s="54"/>
      <c r="U21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MATCH(""사업장담당자"", INDEX(IMPORTRANGE(""https://docs.google.com/spreadsheets/d/1aJ8iXnyM-JhRgpO9l17mkDq2_VFDRDluD053wxjOUCM/edit"", ""'2. 25년 관리DB'!A1:BV1""), 1, ), 0)
    )
  ),
  """"
)
"),"최지은")</f>
        <v>최지은</v>
      </c>
      <c r="V21" s="42"/>
      <c r="W21" s="42"/>
      <c r="X21" s="42"/>
      <c r="Y21" s="42"/>
      <c r="Z21" s="42"/>
      <c r="AA21" s="42"/>
      <c r="AB21" s="42"/>
      <c r="AC21" s="42"/>
      <c r="AD21" s="43"/>
      <c r="AE21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MATCH(""연락처"", INDEX(IMPORTRANGE(""https://docs.google.com/spreadsheets/d/1aJ8iXnyM-JhRgpO9l17mkDq2_VFDRDluD053wxjOUCM/edit"", ""'2. 25년 관리DB'!A1:BV1""), 1, ), 0)
    )
  ),
  """"
)
"),"010-3279-0092")</f>
        <v>010-3279-0092</v>
      </c>
      <c r="AF21" s="42"/>
      <c r="AG21" s="42"/>
      <c r="AH21" s="42"/>
      <c r="AI21" s="42"/>
      <c r="AJ21" s="42"/>
      <c r="AK21" s="42"/>
      <c r="AL21" s="42"/>
      <c r="AM21" s="42"/>
      <c r="AN21" s="43"/>
      <c r="AO21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MATCH(""이메일"", INDEX(IMPORTRANGE(""https://docs.google.com/spreadsheets/d/1aJ8iXnyM-JhRgpO9l17mkDq2_VFDRDluD053wxjOUCM/edit"", ""'2. 25년 관리DB'!A1:BV1""), 1, ), 0)
    )
  ),
  """"
)
"),"choije0310@nepes.co.kr")</f>
        <v>choije0310@nepes.co.kr</v>
      </c>
      <c r="AP21" s="42"/>
      <c r="AQ21" s="42"/>
      <c r="AR21" s="42"/>
      <c r="AS21" s="42"/>
      <c r="AT21" s="42"/>
      <c r="AU21" s="42"/>
      <c r="AV21" s="42"/>
      <c r="AW21" s="42"/>
      <c r="AX21" s="43"/>
      <c r="AY21" s="15"/>
      <c r="AZ21" s="15"/>
      <c r="BA21" s="15"/>
    </row>
    <row r="22" spans="1:53" ht="15" customHeight="1">
      <c r="A22" s="67"/>
      <c r="B22" s="62"/>
      <c r="C22" s="68"/>
      <c r="D22" s="67"/>
      <c r="E22" s="62"/>
      <c r="F22" s="62"/>
      <c r="G22" s="62"/>
      <c r="H22" s="62"/>
      <c r="I22" s="62"/>
      <c r="J22" s="68"/>
      <c r="K22" s="48" t="s">
        <v>61</v>
      </c>
      <c r="L22" s="42"/>
      <c r="M22" s="42"/>
      <c r="N22" s="42"/>
      <c r="O22" s="42"/>
      <c r="P22" s="42"/>
      <c r="Q22" s="42"/>
      <c r="R22" s="42"/>
      <c r="S22" s="42"/>
      <c r="T22" s="43"/>
      <c r="U22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MATCH(""주소"", INDEX(IMPORTRANGE(""https://docs.google.com/spreadsheets/d/1aJ8iXnyM-JhRgpO9l17mkDq2_VFDRDluD053wxjOUCM/edit"", ""'2. 25년 관리DB'!A1:BV1""), 1, ), 0)
    )
  ),
  """"
)
"),"충청북도 음성군 금일로 965번길 105")</f>
        <v>충청북도 음성군 금일로 965번길 105</v>
      </c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3"/>
      <c r="AY22" s="15"/>
      <c r="AZ22" s="15"/>
      <c r="BA22" s="15"/>
    </row>
    <row r="23" spans="1:53" ht="54" customHeight="1">
      <c r="A23" s="52"/>
      <c r="B23" s="53"/>
      <c r="C23" s="54"/>
      <c r="D23" s="52"/>
      <c r="E23" s="53"/>
      <c r="F23" s="53"/>
      <c r="G23" s="53"/>
      <c r="H23" s="53"/>
      <c r="I23" s="53"/>
      <c r="J23" s="54"/>
      <c r="K23" s="60" t="s">
        <v>62</v>
      </c>
      <c r="L23" s="42"/>
      <c r="M23" s="42"/>
      <c r="N23" s="42"/>
      <c r="O23" s="42"/>
      <c r="P23" s="42"/>
      <c r="Q23" s="42"/>
      <c r="R23" s="42"/>
      <c r="S23" s="42"/>
      <c r="T23" s="43"/>
      <c r="U23" s="41" t="s">
        <v>63</v>
      </c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3"/>
      <c r="AY23" s="16"/>
      <c r="AZ23" s="16"/>
      <c r="BA23" s="16"/>
    </row>
    <row r="24" spans="1:53" ht="15" customHeight="1">
      <c r="A24" s="58" t="s">
        <v>64</v>
      </c>
      <c r="B24" s="50"/>
      <c r="C24" s="51"/>
      <c r="D24" s="59" t="s">
        <v>65</v>
      </c>
      <c r="E24" s="50"/>
      <c r="F24" s="50"/>
      <c r="G24" s="50"/>
      <c r="H24" s="50"/>
      <c r="I24" s="50"/>
      <c r="J24" s="51"/>
      <c r="K24" s="48" t="s">
        <v>66</v>
      </c>
      <c r="L24" s="42"/>
      <c r="M24" s="42"/>
      <c r="N24" s="42"/>
      <c r="O24" s="42"/>
      <c r="P24" s="42"/>
      <c r="Q24" s="42"/>
      <c r="R24" s="42"/>
      <c r="S24" s="42"/>
      <c r="T24" s="43"/>
      <c r="U24" s="48" t="s">
        <v>67</v>
      </c>
      <c r="V24" s="42"/>
      <c r="W24" s="42"/>
      <c r="X24" s="42"/>
      <c r="Y24" s="42"/>
      <c r="Z24" s="42"/>
      <c r="AA24" s="42"/>
      <c r="AB24" s="42"/>
      <c r="AC24" s="42"/>
      <c r="AD24" s="43"/>
      <c r="AE24" s="48" t="s">
        <v>68</v>
      </c>
      <c r="AF24" s="42"/>
      <c r="AG24" s="42"/>
      <c r="AH24" s="42"/>
      <c r="AI24" s="42"/>
      <c r="AJ24" s="42"/>
      <c r="AK24" s="42"/>
      <c r="AL24" s="42"/>
      <c r="AM24" s="42"/>
      <c r="AN24" s="43"/>
      <c r="AO24" s="48" t="s">
        <v>69</v>
      </c>
      <c r="AP24" s="42"/>
      <c r="AQ24" s="42"/>
      <c r="AR24" s="42"/>
      <c r="AS24" s="42"/>
      <c r="AT24" s="42"/>
      <c r="AU24" s="42"/>
      <c r="AV24" s="42"/>
      <c r="AW24" s="42"/>
      <c r="AX24" s="43"/>
      <c r="AY24" s="6"/>
      <c r="AZ24" s="6"/>
      <c r="BA24" s="6"/>
    </row>
    <row r="25" spans="1:53" ht="15" customHeight="1">
      <c r="A25" s="67"/>
      <c r="B25" s="62"/>
      <c r="C25" s="68"/>
      <c r="D25" s="67"/>
      <c r="E25" s="62"/>
      <c r="F25" s="62"/>
      <c r="G25" s="62"/>
      <c r="H25" s="62"/>
      <c r="I25" s="62"/>
      <c r="J25" s="68"/>
      <c r="K25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25" s="42"/>
      <c r="M25" s="42"/>
      <c r="N25" s="42"/>
      <c r="O25" s="42"/>
      <c r="P25" s="42"/>
      <c r="Q25" s="42"/>
      <c r="R25" s="42"/>
      <c r="S25" s="42"/>
      <c r="T25" s="43"/>
      <c r="U25" s="44">
        <v>1</v>
      </c>
      <c r="V25" s="42"/>
      <c r="W25" s="42"/>
      <c r="X25" s="42"/>
      <c r="Y25" s="42"/>
      <c r="Z25" s="42"/>
      <c r="AA25" s="42"/>
      <c r="AB25" s="42"/>
      <c r="AC25" s="42"/>
      <c r="AD25" s="43"/>
      <c r="AE25" s="45">
        <v>501</v>
      </c>
      <c r="AF25" s="42"/>
      <c r="AG25" s="42"/>
      <c r="AH25" s="42"/>
      <c r="AI25" s="42"/>
      <c r="AJ25" s="42"/>
      <c r="AK25" s="42"/>
      <c r="AL25" s="42"/>
      <c r="AM25" s="42"/>
      <c r="AN25" s="43"/>
      <c r="AO25" s="46">
        <v>1</v>
      </c>
      <c r="AP25" s="42"/>
      <c r="AQ25" s="42"/>
      <c r="AR25" s="42"/>
      <c r="AS25" s="42"/>
      <c r="AT25" s="42"/>
      <c r="AU25" s="42"/>
      <c r="AV25" s="42"/>
      <c r="AW25" s="42"/>
      <c r="AX25" s="43"/>
      <c r="AY25" s="17"/>
      <c r="AZ25" s="17"/>
      <c r="BA25" s="17"/>
    </row>
    <row r="26" spans="1:53" ht="15" customHeight="1">
      <c r="A26" s="67"/>
      <c r="B26" s="62"/>
      <c r="C26" s="68"/>
      <c r="D26" s="67"/>
      <c r="E26" s="62"/>
      <c r="F26" s="62"/>
      <c r="G26" s="62"/>
      <c r="H26" s="62"/>
      <c r="I26" s="62"/>
      <c r="J26" s="68"/>
      <c r="K26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26" s="42"/>
      <c r="M26" s="42"/>
      <c r="N26" s="42"/>
      <c r="O26" s="42"/>
      <c r="P26" s="42"/>
      <c r="Q26" s="42"/>
      <c r="R26" s="42"/>
      <c r="S26" s="42"/>
      <c r="T26" s="43"/>
      <c r="U26" s="44"/>
      <c r="V26" s="42"/>
      <c r="W26" s="42"/>
      <c r="X26" s="42"/>
      <c r="Y26" s="42"/>
      <c r="Z26" s="42"/>
      <c r="AA26" s="42"/>
      <c r="AB26" s="42"/>
      <c r="AC26" s="42"/>
      <c r="AD26" s="43"/>
      <c r="AE26" s="45"/>
      <c r="AF26" s="42"/>
      <c r="AG26" s="42"/>
      <c r="AH26" s="42"/>
      <c r="AI26" s="42"/>
      <c r="AJ26" s="42"/>
      <c r="AK26" s="42"/>
      <c r="AL26" s="42"/>
      <c r="AM26" s="42"/>
      <c r="AN26" s="43"/>
      <c r="AO26" s="46"/>
      <c r="AP26" s="42"/>
      <c r="AQ26" s="42"/>
      <c r="AR26" s="42"/>
      <c r="AS26" s="42"/>
      <c r="AT26" s="42"/>
      <c r="AU26" s="42"/>
      <c r="AV26" s="42"/>
      <c r="AW26" s="42"/>
      <c r="AX26" s="43"/>
      <c r="AY26" s="17"/>
      <c r="AZ26" s="17"/>
      <c r="BA26" s="17"/>
    </row>
    <row r="27" spans="1:53" ht="15" customHeight="1">
      <c r="A27" s="67"/>
      <c r="B27" s="62"/>
      <c r="C27" s="68"/>
      <c r="D27" s="67"/>
      <c r="E27" s="62"/>
      <c r="F27" s="62"/>
      <c r="G27" s="62"/>
      <c r="H27" s="62"/>
      <c r="I27" s="62"/>
      <c r="J27" s="68"/>
      <c r="K27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27" s="42"/>
      <c r="M27" s="42"/>
      <c r="N27" s="42"/>
      <c r="O27" s="42"/>
      <c r="P27" s="42"/>
      <c r="Q27" s="42"/>
      <c r="R27" s="42"/>
      <c r="S27" s="42"/>
      <c r="T27" s="43"/>
      <c r="U27" s="44"/>
      <c r="V27" s="42"/>
      <c r="W27" s="42"/>
      <c r="X27" s="42"/>
      <c r="Y27" s="42"/>
      <c r="Z27" s="42"/>
      <c r="AA27" s="42"/>
      <c r="AB27" s="42"/>
      <c r="AC27" s="42"/>
      <c r="AD27" s="43"/>
      <c r="AE27" s="45"/>
      <c r="AF27" s="42"/>
      <c r="AG27" s="42"/>
      <c r="AH27" s="42"/>
      <c r="AI27" s="42"/>
      <c r="AJ27" s="42"/>
      <c r="AK27" s="42"/>
      <c r="AL27" s="42"/>
      <c r="AM27" s="42"/>
      <c r="AN27" s="43"/>
      <c r="AO27" s="46"/>
      <c r="AP27" s="42"/>
      <c r="AQ27" s="42"/>
      <c r="AR27" s="42"/>
      <c r="AS27" s="42"/>
      <c r="AT27" s="42"/>
      <c r="AU27" s="42"/>
      <c r="AV27" s="42"/>
      <c r="AW27" s="42"/>
      <c r="AX27" s="43"/>
      <c r="AY27" s="17"/>
      <c r="AZ27" s="17"/>
      <c r="BA27" s="17"/>
    </row>
    <row r="28" spans="1:53" ht="15" customHeight="1">
      <c r="A28" s="67"/>
      <c r="B28" s="62"/>
      <c r="C28" s="68"/>
      <c r="D28" s="67"/>
      <c r="E28" s="62"/>
      <c r="F28" s="62"/>
      <c r="G28" s="62"/>
      <c r="H28" s="62"/>
      <c r="I28" s="62"/>
      <c r="J28" s="68"/>
      <c r="K28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28" s="42"/>
      <c r="M28" s="42"/>
      <c r="N28" s="42"/>
      <c r="O28" s="42"/>
      <c r="P28" s="42"/>
      <c r="Q28" s="42"/>
      <c r="R28" s="42"/>
      <c r="S28" s="42"/>
      <c r="T28" s="43"/>
      <c r="U28" s="44"/>
      <c r="V28" s="42"/>
      <c r="W28" s="42"/>
      <c r="X28" s="42"/>
      <c r="Y28" s="42"/>
      <c r="Z28" s="42"/>
      <c r="AA28" s="42"/>
      <c r="AB28" s="42"/>
      <c r="AC28" s="42"/>
      <c r="AD28" s="43"/>
      <c r="AE28" s="45"/>
      <c r="AF28" s="42"/>
      <c r="AG28" s="42"/>
      <c r="AH28" s="42"/>
      <c r="AI28" s="42"/>
      <c r="AJ28" s="42"/>
      <c r="AK28" s="42"/>
      <c r="AL28" s="42"/>
      <c r="AM28" s="42"/>
      <c r="AN28" s="43"/>
      <c r="AO28" s="46"/>
      <c r="AP28" s="42"/>
      <c r="AQ28" s="42"/>
      <c r="AR28" s="42"/>
      <c r="AS28" s="42"/>
      <c r="AT28" s="42"/>
      <c r="AU28" s="42"/>
      <c r="AV28" s="42"/>
      <c r="AW28" s="42"/>
      <c r="AX28" s="43"/>
      <c r="AY28" s="17"/>
      <c r="AZ28" s="17"/>
      <c r="BA28" s="17"/>
    </row>
    <row r="29" spans="1:53" ht="15" customHeight="1">
      <c r="A29" s="67"/>
      <c r="B29" s="62"/>
      <c r="C29" s="68"/>
      <c r="D29" s="67"/>
      <c r="E29" s="62"/>
      <c r="F29" s="62"/>
      <c r="G29" s="62"/>
      <c r="H29" s="62"/>
      <c r="I29" s="62"/>
      <c r="J29" s="68"/>
      <c r="K29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29" s="42"/>
      <c r="M29" s="42"/>
      <c r="N29" s="42"/>
      <c r="O29" s="42"/>
      <c r="P29" s="42"/>
      <c r="Q29" s="42"/>
      <c r="R29" s="42"/>
      <c r="S29" s="42"/>
      <c r="T29" s="43"/>
      <c r="U29" s="44"/>
      <c r="V29" s="42"/>
      <c r="W29" s="42"/>
      <c r="X29" s="42"/>
      <c r="Y29" s="42"/>
      <c r="Z29" s="42"/>
      <c r="AA29" s="42"/>
      <c r="AB29" s="42"/>
      <c r="AC29" s="42"/>
      <c r="AD29" s="43"/>
      <c r="AE29" s="45"/>
      <c r="AF29" s="42"/>
      <c r="AG29" s="42"/>
      <c r="AH29" s="42"/>
      <c r="AI29" s="42"/>
      <c r="AJ29" s="42"/>
      <c r="AK29" s="42"/>
      <c r="AL29" s="42"/>
      <c r="AM29" s="42"/>
      <c r="AN29" s="43"/>
      <c r="AO29" s="46"/>
      <c r="AP29" s="42"/>
      <c r="AQ29" s="42"/>
      <c r="AR29" s="42"/>
      <c r="AS29" s="42"/>
      <c r="AT29" s="42"/>
      <c r="AU29" s="42"/>
      <c r="AV29" s="42"/>
      <c r="AW29" s="42"/>
      <c r="AX29" s="43"/>
      <c r="AY29" s="17"/>
      <c r="AZ29" s="17"/>
      <c r="BA29" s="17"/>
    </row>
    <row r="30" spans="1:53" ht="15" customHeight="1">
      <c r="A30" s="67"/>
      <c r="B30" s="62"/>
      <c r="C30" s="68"/>
      <c r="D30" s="67"/>
      <c r="E30" s="62"/>
      <c r="F30" s="62"/>
      <c r="G30" s="62"/>
      <c r="H30" s="62"/>
      <c r="I30" s="62"/>
      <c r="J30" s="68"/>
      <c r="K30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30" s="42"/>
      <c r="M30" s="42"/>
      <c r="N30" s="42"/>
      <c r="O30" s="42"/>
      <c r="P30" s="42"/>
      <c r="Q30" s="42"/>
      <c r="R30" s="42"/>
      <c r="S30" s="42"/>
      <c r="T30" s="43"/>
      <c r="U30" s="44"/>
      <c r="V30" s="42"/>
      <c r="W30" s="42"/>
      <c r="X30" s="42"/>
      <c r="Y30" s="42"/>
      <c r="Z30" s="42"/>
      <c r="AA30" s="42"/>
      <c r="AB30" s="42"/>
      <c r="AC30" s="42"/>
      <c r="AD30" s="43"/>
      <c r="AE30" s="45"/>
      <c r="AF30" s="42"/>
      <c r="AG30" s="42"/>
      <c r="AH30" s="42"/>
      <c r="AI30" s="42"/>
      <c r="AJ30" s="42"/>
      <c r="AK30" s="42"/>
      <c r="AL30" s="42"/>
      <c r="AM30" s="42"/>
      <c r="AN30" s="43"/>
      <c r="AO30" s="46"/>
      <c r="AP30" s="42"/>
      <c r="AQ30" s="42"/>
      <c r="AR30" s="42"/>
      <c r="AS30" s="42"/>
      <c r="AT30" s="42"/>
      <c r="AU30" s="42"/>
      <c r="AV30" s="42"/>
      <c r="AW30" s="42"/>
      <c r="AX30" s="43"/>
      <c r="AY30" s="17"/>
      <c r="AZ30" s="17"/>
      <c r="BA30" s="17"/>
    </row>
    <row r="31" spans="1:53" ht="15" customHeight="1">
      <c r="A31" s="67"/>
      <c r="B31" s="62"/>
      <c r="C31" s="68"/>
      <c r="D31" s="67"/>
      <c r="E31" s="62"/>
      <c r="F31" s="62"/>
      <c r="G31" s="62"/>
      <c r="H31" s="62"/>
      <c r="I31" s="62"/>
      <c r="J31" s="68"/>
      <c r="K31" s="41" t="str">
        <f ca="1">IFERROR(__xludf.DUMMYFUNCTION("IFERROR(
  XLOOKUP(
    $K$21,
    INDEX(
      IMPORTRANGE(""https://docs.google.com/spreadsheets/d/1aJ8iXnyM-JhRgpO9l17mkDq2_VFDRDluD053wxjOUCM/edit"", ""'2. 25년 관리DB'!A:BV""), 
      , MATCH(""사업장명"", INDEX(IMPORTRANGE(""https://docs.google.com/spreads"&amp;"heets/d/1aJ8iXnyM-JhRgpO9l17mkDq2_VFDRDluD053wxjOUCM/edit"", ""'2. 25년 관리DB'!A1:BV1""), 1, ), 0)
    ),
    INDEX(
      IMPORTRANGE(""https://docs.google.com/spreadsheets/d/1aJ8iXnyM-JhRgpO9l17mkDq2_VFDRDluD053wxjOUCM/edit"", ""'2. 25년 관리DB'!A:BV""), 
  "&amp;"    , MATCH(""사업장관리코드"", INDEX(IMPORTRANGE(""https://docs.google.com/spreadsheets/d/1aJ8iXnyM-JhRgpO9l17mkDq2_VFDRDluD053wxjOUCM/edit"", ""'2. 25년 관리DB'!A1:BV1""), 1, ), 0)
    )
  ),
  """"
)
"),"-")</f>
        <v>-</v>
      </c>
      <c r="L31" s="42"/>
      <c r="M31" s="42"/>
      <c r="N31" s="42"/>
      <c r="O31" s="42"/>
      <c r="P31" s="42"/>
      <c r="Q31" s="42"/>
      <c r="R31" s="42"/>
      <c r="S31" s="42"/>
      <c r="T31" s="43"/>
      <c r="U31" s="44"/>
      <c r="V31" s="42"/>
      <c r="W31" s="42"/>
      <c r="X31" s="42"/>
      <c r="Y31" s="42"/>
      <c r="Z31" s="42"/>
      <c r="AA31" s="42"/>
      <c r="AB31" s="42"/>
      <c r="AC31" s="42"/>
      <c r="AD31" s="43"/>
      <c r="AE31" s="45"/>
      <c r="AF31" s="42"/>
      <c r="AG31" s="42"/>
      <c r="AH31" s="42"/>
      <c r="AI31" s="42"/>
      <c r="AJ31" s="42"/>
      <c r="AK31" s="42"/>
      <c r="AL31" s="42"/>
      <c r="AM31" s="42"/>
      <c r="AN31" s="43"/>
      <c r="AO31" s="46"/>
      <c r="AP31" s="42"/>
      <c r="AQ31" s="42"/>
      <c r="AR31" s="42"/>
      <c r="AS31" s="42"/>
      <c r="AT31" s="42"/>
      <c r="AU31" s="42"/>
      <c r="AV31" s="42"/>
      <c r="AW31" s="42"/>
      <c r="AX31" s="43"/>
      <c r="AY31" s="17"/>
      <c r="AZ31" s="17"/>
      <c r="BA31" s="17"/>
    </row>
    <row r="32" spans="1:53" ht="15" customHeight="1">
      <c r="A32" s="52"/>
      <c r="B32" s="53"/>
      <c r="C32" s="54"/>
      <c r="D32" s="52"/>
      <c r="E32" s="53"/>
      <c r="F32" s="53"/>
      <c r="G32" s="53"/>
      <c r="H32" s="53"/>
      <c r="I32" s="53"/>
      <c r="J32" s="54"/>
      <c r="K32" s="48" t="s">
        <v>70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3"/>
      <c r="AY32" s="6"/>
      <c r="AZ32" s="6"/>
      <c r="BA32" s="6"/>
    </row>
    <row r="33" spans="1:53" ht="15" customHeight="1">
      <c r="A33" s="58" t="s">
        <v>71</v>
      </c>
      <c r="B33" s="50"/>
      <c r="C33" s="51"/>
      <c r="D33" s="49" t="s">
        <v>72</v>
      </c>
      <c r="E33" s="50"/>
      <c r="F33" s="50"/>
      <c r="G33" s="50"/>
      <c r="H33" s="50"/>
      <c r="I33" s="50"/>
      <c r="J33" s="51"/>
      <c r="K33" s="48" t="s">
        <v>39</v>
      </c>
      <c r="L33" s="42"/>
      <c r="M33" s="42"/>
      <c r="N33" s="42"/>
      <c r="O33" s="42"/>
      <c r="P33" s="42"/>
      <c r="Q33" s="42"/>
      <c r="R33" s="42"/>
      <c r="S33" s="42"/>
      <c r="T33" s="43"/>
      <c r="U33" s="48" t="s">
        <v>73</v>
      </c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/>
      <c r="AJ33" s="48" t="s">
        <v>74</v>
      </c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3"/>
      <c r="AY33" s="6"/>
      <c r="AZ33" s="6"/>
      <c r="BA33" s="6"/>
    </row>
    <row r="34" spans="1:53" ht="15" customHeight="1">
      <c r="A34" s="67"/>
      <c r="B34" s="62"/>
      <c r="C34" s="68"/>
      <c r="D34" s="67"/>
      <c r="E34" s="62"/>
      <c r="F34" s="62"/>
      <c r="G34" s="62"/>
      <c r="H34" s="62"/>
      <c r="I34" s="62"/>
      <c r="J34" s="68"/>
      <c r="K34" s="48" t="s">
        <v>75</v>
      </c>
      <c r="L34" s="42"/>
      <c r="M34" s="42"/>
      <c r="N34" s="42"/>
      <c r="O34" s="42"/>
      <c r="P34" s="42"/>
      <c r="Q34" s="42"/>
      <c r="R34" s="42"/>
      <c r="S34" s="42"/>
      <c r="T34" s="43"/>
      <c r="U34" s="55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3"/>
      <c r="AJ34" s="55" t="s">
        <v>76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3"/>
      <c r="AY34" s="6"/>
      <c r="AZ34" s="6"/>
      <c r="BA34" s="6"/>
    </row>
    <row r="35" spans="1:53" ht="15" customHeight="1">
      <c r="A35" s="67"/>
      <c r="B35" s="62"/>
      <c r="C35" s="68"/>
      <c r="D35" s="67"/>
      <c r="E35" s="62"/>
      <c r="F35" s="62"/>
      <c r="G35" s="62"/>
      <c r="H35" s="62"/>
      <c r="I35" s="62"/>
      <c r="J35" s="68"/>
      <c r="K35" s="48" t="s">
        <v>77</v>
      </c>
      <c r="L35" s="42"/>
      <c r="M35" s="42"/>
      <c r="N35" s="42"/>
      <c r="O35" s="42"/>
      <c r="P35" s="42"/>
      <c r="Q35" s="42"/>
      <c r="R35" s="42"/>
      <c r="S35" s="42"/>
      <c r="T35" s="43"/>
      <c r="U35" s="55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3"/>
      <c r="AJ35" s="55" t="s">
        <v>76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3"/>
      <c r="AY35" s="6"/>
      <c r="AZ35" s="6"/>
      <c r="BA35" s="6"/>
    </row>
    <row r="36" spans="1:53" ht="15" customHeight="1">
      <c r="A36" s="67"/>
      <c r="B36" s="62"/>
      <c r="C36" s="68"/>
      <c r="D36" s="67"/>
      <c r="E36" s="62"/>
      <c r="F36" s="62"/>
      <c r="G36" s="62"/>
      <c r="H36" s="62"/>
      <c r="I36" s="62"/>
      <c r="J36" s="68"/>
      <c r="K36" s="59" t="s">
        <v>78</v>
      </c>
      <c r="L36" s="50"/>
      <c r="M36" s="50"/>
      <c r="N36" s="50"/>
      <c r="O36" s="50"/>
      <c r="P36" s="50"/>
      <c r="Q36" s="50"/>
      <c r="R36" s="50"/>
      <c r="S36" s="50"/>
      <c r="T36" s="51"/>
      <c r="U36" s="48" t="s">
        <v>79</v>
      </c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3"/>
      <c r="AY36" s="6"/>
      <c r="AZ36" s="6"/>
      <c r="BA36" s="6"/>
    </row>
    <row r="37" spans="1:53" ht="30" customHeight="1">
      <c r="A37" s="67"/>
      <c r="B37" s="62"/>
      <c r="C37" s="68"/>
      <c r="D37" s="67"/>
      <c r="E37" s="62"/>
      <c r="F37" s="62"/>
      <c r="G37" s="62"/>
      <c r="H37" s="62"/>
      <c r="I37" s="62"/>
      <c r="J37" s="68"/>
      <c r="K37" s="67"/>
      <c r="L37" s="62"/>
      <c r="M37" s="62"/>
      <c r="N37" s="62"/>
      <c r="O37" s="62"/>
      <c r="P37" s="62"/>
      <c r="Q37" s="62"/>
      <c r="R37" s="62"/>
      <c r="S37" s="62"/>
      <c r="T37" s="68"/>
      <c r="U37" s="60" t="s">
        <v>80</v>
      </c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3"/>
      <c r="AJ37" s="60" t="s">
        <v>81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3"/>
      <c r="AY37" s="18"/>
      <c r="AZ37" s="18"/>
      <c r="BA37" s="18"/>
    </row>
    <row r="38" spans="1:53" ht="15" customHeight="1">
      <c r="A38" s="52"/>
      <c r="B38" s="53"/>
      <c r="C38" s="54"/>
      <c r="D38" s="52"/>
      <c r="E38" s="53"/>
      <c r="F38" s="53"/>
      <c r="G38" s="53"/>
      <c r="H38" s="53"/>
      <c r="I38" s="53"/>
      <c r="J38" s="54"/>
      <c r="K38" s="52"/>
      <c r="L38" s="53"/>
      <c r="M38" s="53"/>
      <c r="N38" s="53"/>
      <c r="O38" s="53"/>
      <c r="P38" s="53"/>
      <c r="Q38" s="53"/>
      <c r="R38" s="53"/>
      <c r="S38" s="53"/>
      <c r="T38" s="54"/>
      <c r="U38" s="55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3"/>
      <c r="AJ38" s="55" t="str">
        <f ca="1">IF($BA$13="2. 유선","V","")</f>
        <v>V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3"/>
      <c r="AY38" s="6"/>
      <c r="AZ38" s="6"/>
      <c r="BA38" s="6"/>
    </row>
    <row r="39" spans="1:53" ht="15" customHeight="1">
      <c r="A39" s="58" t="s">
        <v>82</v>
      </c>
      <c r="B39" s="50"/>
      <c r="C39" s="51"/>
      <c r="D39" s="59" t="s">
        <v>83</v>
      </c>
      <c r="E39" s="50"/>
      <c r="F39" s="50"/>
      <c r="G39" s="50"/>
      <c r="H39" s="50"/>
      <c r="I39" s="50"/>
      <c r="J39" s="51"/>
      <c r="K39" s="48" t="s">
        <v>39</v>
      </c>
      <c r="L39" s="42"/>
      <c r="M39" s="42"/>
      <c r="N39" s="42"/>
      <c r="O39" s="42"/>
      <c r="P39" s="42"/>
      <c r="Q39" s="42"/>
      <c r="R39" s="42"/>
      <c r="S39" s="42"/>
      <c r="T39" s="43"/>
      <c r="U39" s="48" t="s">
        <v>84</v>
      </c>
      <c r="V39" s="42"/>
      <c r="W39" s="42"/>
      <c r="X39" s="42"/>
      <c r="Y39" s="42"/>
      <c r="Z39" s="42"/>
      <c r="AA39" s="42"/>
      <c r="AB39" s="42"/>
      <c r="AC39" s="42"/>
      <c r="AD39" s="43"/>
      <c r="AE39" s="48" t="s">
        <v>85</v>
      </c>
      <c r="AF39" s="42"/>
      <c r="AG39" s="42"/>
      <c r="AH39" s="42"/>
      <c r="AI39" s="42"/>
      <c r="AJ39" s="42"/>
      <c r="AK39" s="42"/>
      <c r="AL39" s="42"/>
      <c r="AM39" s="42"/>
      <c r="AN39" s="43"/>
      <c r="AO39" s="48" t="s">
        <v>86</v>
      </c>
      <c r="AP39" s="42"/>
      <c r="AQ39" s="42"/>
      <c r="AR39" s="42"/>
      <c r="AS39" s="42"/>
      <c r="AT39" s="42"/>
      <c r="AU39" s="42"/>
      <c r="AV39" s="42"/>
      <c r="AW39" s="42"/>
      <c r="AX39" s="43"/>
      <c r="AY39" s="6"/>
      <c r="AZ39" s="6"/>
      <c r="BA39" s="6"/>
    </row>
    <row r="40" spans="1:53" ht="15" customHeight="1">
      <c r="A40" s="67"/>
      <c r="B40" s="62"/>
      <c r="C40" s="68"/>
      <c r="D40" s="67"/>
      <c r="E40" s="62"/>
      <c r="F40" s="62"/>
      <c r="G40" s="62"/>
      <c r="H40" s="62"/>
      <c r="I40" s="62"/>
      <c r="J40" s="68"/>
      <c r="K40" s="48" t="s">
        <v>87</v>
      </c>
      <c r="L40" s="42"/>
      <c r="M40" s="42"/>
      <c r="N40" s="42"/>
      <c r="O40" s="42"/>
      <c r="P40" s="42"/>
      <c r="Q40" s="42"/>
      <c r="R40" s="42"/>
      <c r="S40" s="42"/>
      <c r="T40" s="43"/>
      <c r="U40" s="48" t="s">
        <v>88</v>
      </c>
      <c r="V40" s="42"/>
      <c r="W40" s="42"/>
      <c r="X40" s="42"/>
      <c r="Y40" s="42"/>
      <c r="Z40" s="42"/>
      <c r="AA40" s="42"/>
      <c r="AB40" s="42"/>
      <c r="AC40" s="42"/>
      <c r="AD40" s="43"/>
      <c r="AE40" s="48" t="s">
        <v>89</v>
      </c>
      <c r="AF40" s="42"/>
      <c r="AG40" s="42"/>
      <c r="AH40" s="42"/>
      <c r="AI40" s="42"/>
      <c r="AJ40" s="42"/>
      <c r="AK40" s="42"/>
      <c r="AL40" s="42"/>
      <c r="AM40" s="42"/>
      <c r="AN40" s="43"/>
      <c r="AO40" s="48" t="s">
        <v>90</v>
      </c>
      <c r="AP40" s="42"/>
      <c r="AQ40" s="42"/>
      <c r="AR40" s="42"/>
      <c r="AS40" s="42"/>
      <c r="AT40" s="42"/>
      <c r="AU40" s="42"/>
      <c r="AV40" s="42"/>
      <c r="AW40" s="42"/>
      <c r="AX40" s="43"/>
      <c r="AY40" s="6"/>
      <c r="AZ40" s="6"/>
      <c r="BA40" s="6"/>
    </row>
    <row r="41" spans="1:53" ht="15" customHeight="1">
      <c r="A41" s="67"/>
      <c r="B41" s="62"/>
      <c r="C41" s="68"/>
      <c r="D41" s="67"/>
      <c r="E41" s="62"/>
      <c r="F41" s="62"/>
      <c r="G41" s="62"/>
      <c r="H41" s="62"/>
      <c r="I41" s="62"/>
      <c r="J41" s="68"/>
      <c r="K41" s="48" t="s">
        <v>91</v>
      </c>
      <c r="L41" s="42"/>
      <c r="M41" s="42"/>
      <c r="N41" s="42"/>
      <c r="O41" s="42"/>
      <c r="P41" s="42"/>
      <c r="Q41" s="42"/>
      <c r="R41" s="42"/>
      <c r="S41" s="42"/>
      <c r="T41" s="43"/>
      <c r="U41" s="47">
        <f ca="1">IFERROR(__xludf.DUMMYFUNCTION("LET(
  url, ""https://docs.google.com/spreadsheets/d/1aJ8iXnyM-JhRgpO9l17mkDq2_VFDRDluD053wxjOUCM/edit"",
  시트, ""'2. 25년 관리DB'!"",
  본문, IMPORTRANGE(url, 시트 &amp; ""A:BV""),
  헤더, INDEX(본문, 1, ),
  사업장열, MATCH(""사업장명"", 헤더, 0),
  송풍열, MATCH(""송풍전류계"", 헤더, 0)"&amp;",
  펌프열, MATCH(""펌프전류계"", 헤더, 0),
  기준값2, $BA$5,
  기준값1, $K$21,
  사업장범위, INDEX(본문, , 사업장열),
  송풍값1, IFERROR(XLOOKUP(기준값1, 사업장범위, INDEX(본문, , 송풍열)), 0),
  펌프값1, IFERROR(XLOOKUP(기준값1, 사업장범위, INDEX(본문, , 펌프열)), 0),
  송풍값2, IFERROR(XLOOKUP(기준값2, 사업장범위, INDEX"&amp;"(본문, , 송풍열)), 0),
  펌프값2, IFERROR(XLOOKUP(기준값2, 사업장범위, INDEX(본문, , 펌프열)), 0),
  송풍값1 + 펌프값1 + 송풍값2 + 펌프값2
)
"),0)</f>
        <v>0</v>
      </c>
      <c r="V41" s="42"/>
      <c r="W41" s="42"/>
      <c r="X41" s="42"/>
      <c r="Y41" s="42"/>
      <c r="Z41" s="42"/>
      <c r="AA41" s="42"/>
      <c r="AB41" s="42"/>
      <c r="AC41" s="42"/>
      <c r="AD41" s="43"/>
      <c r="AE41" s="56"/>
      <c r="AF41" s="42"/>
      <c r="AG41" s="42"/>
      <c r="AH41" s="42"/>
      <c r="AI41" s="42"/>
      <c r="AJ41" s="42"/>
      <c r="AK41" s="42"/>
      <c r="AL41" s="42"/>
      <c r="AM41" s="42"/>
      <c r="AN41" s="43"/>
      <c r="AO41" s="56"/>
      <c r="AP41" s="42"/>
      <c r="AQ41" s="42"/>
      <c r="AR41" s="42"/>
      <c r="AS41" s="42"/>
      <c r="AT41" s="42"/>
      <c r="AU41" s="42"/>
      <c r="AV41" s="42"/>
      <c r="AW41" s="42"/>
      <c r="AX41" s="43"/>
      <c r="AY41" s="19"/>
      <c r="AZ41" s="19"/>
      <c r="BA41" s="19"/>
    </row>
    <row r="42" spans="1:53" ht="15" customHeight="1">
      <c r="A42" s="52"/>
      <c r="B42" s="53"/>
      <c r="C42" s="54"/>
      <c r="D42" s="52"/>
      <c r="E42" s="53"/>
      <c r="F42" s="53"/>
      <c r="G42" s="53"/>
      <c r="H42" s="53"/>
      <c r="I42" s="53"/>
      <c r="J42" s="54"/>
      <c r="K42" s="48" t="s">
        <v>92</v>
      </c>
      <c r="L42" s="42"/>
      <c r="M42" s="42"/>
      <c r="N42" s="42"/>
      <c r="O42" s="42"/>
      <c r="P42" s="42"/>
      <c r="Q42" s="42"/>
      <c r="R42" s="42"/>
      <c r="S42" s="42"/>
      <c r="T42" s="43"/>
      <c r="U42" s="47">
        <f ca="1">IFERROR(__xludf.DUMMYFUNCTION("LET(
  url, ""https://docs.google.com/spreadsheets/d/1aJ8iXnyM-JhRgpO9l17mkDq2_VFDRDluD053wxjOUCM/edit"",
  시트, ""'2. 25년 관리DB'!"",
  본문, IMPORTRANGE(url, 시트 &amp; ""A:BV""),
  헤더, INDEX(본문, 1, ),
  사업장열, MATCH(""사업장명"", 헤더, 0),
  배출열, MATCH(""배출전류계"", 헤더, 0)"&amp;",
  기준값2, $BA$5,
  기준값1, $K$21,
  사업장범위, INDEX(본문, , 사업장열),
  배출값1, IFERROR(XLOOKUP(기준값1, 사업장범위, INDEX(본문, , 배출열)), 0),
  배출값2, IFERROR(XLOOKUP(기준값2, 사업장범위, INDEX(본문, , 배출열)), 0),
  배출값1 + 배출값2
)
"),0)</f>
        <v>0</v>
      </c>
      <c r="V42" s="42"/>
      <c r="W42" s="42"/>
      <c r="X42" s="42"/>
      <c r="Y42" s="42"/>
      <c r="Z42" s="42"/>
      <c r="AA42" s="42"/>
      <c r="AB42" s="42"/>
      <c r="AC42" s="42"/>
      <c r="AD42" s="43"/>
      <c r="AE42" s="56"/>
      <c r="AF42" s="42"/>
      <c r="AG42" s="42"/>
      <c r="AH42" s="42"/>
      <c r="AI42" s="42"/>
      <c r="AJ42" s="42"/>
      <c r="AK42" s="42"/>
      <c r="AL42" s="42"/>
      <c r="AM42" s="42"/>
      <c r="AN42" s="43"/>
      <c r="AO42" s="56"/>
      <c r="AP42" s="42"/>
      <c r="AQ42" s="42"/>
      <c r="AR42" s="42"/>
      <c r="AS42" s="42"/>
      <c r="AT42" s="42"/>
      <c r="AU42" s="42"/>
      <c r="AV42" s="42"/>
      <c r="AW42" s="42"/>
      <c r="AX42" s="43"/>
      <c r="AY42" s="19"/>
      <c r="AZ42" s="19"/>
      <c r="BA42" s="19"/>
    </row>
    <row r="43" spans="1:53" ht="15" customHeight="1">
      <c r="A43" s="58" t="s">
        <v>93</v>
      </c>
      <c r="B43" s="50"/>
      <c r="C43" s="51"/>
      <c r="D43" s="49" t="s">
        <v>94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1"/>
      <c r="U43" s="48" t="s">
        <v>95</v>
      </c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3"/>
      <c r="AJ43" s="48" t="s">
        <v>96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3"/>
      <c r="AY43" s="6"/>
      <c r="AZ43" s="6"/>
      <c r="BA43" s="6"/>
    </row>
    <row r="44" spans="1:53" ht="15" customHeight="1">
      <c r="A44" s="52"/>
      <c r="B44" s="53"/>
      <c r="C44" s="54"/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4"/>
      <c r="U44" s="55" t="s">
        <v>76</v>
      </c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3"/>
      <c r="AJ44" s="55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3"/>
      <c r="AY44" s="6"/>
      <c r="AZ44" s="6"/>
      <c r="BA44" s="6"/>
    </row>
    <row r="45" spans="1:53" ht="15" customHeight="1">
      <c r="A45" s="58" t="s">
        <v>97</v>
      </c>
      <c r="B45" s="50"/>
      <c r="C45" s="51"/>
      <c r="D45" s="49" t="s">
        <v>98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U45" s="48" t="s">
        <v>99</v>
      </c>
      <c r="V45" s="42"/>
      <c r="W45" s="42"/>
      <c r="X45" s="42"/>
      <c r="Y45" s="42"/>
      <c r="Z45" s="42"/>
      <c r="AA45" s="42"/>
      <c r="AB45" s="42"/>
      <c r="AC45" s="42"/>
      <c r="AD45" s="43"/>
      <c r="AE45" s="48" t="s">
        <v>100</v>
      </c>
      <c r="AF45" s="42"/>
      <c r="AG45" s="42"/>
      <c r="AH45" s="42"/>
      <c r="AI45" s="42"/>
      <c r="AJ45" s="42"/>
      <c r="AK45" s="42"/>
      <c r="AL45" s="42"/>
      <c r="AM45" s="42"/>
      <c r="AN45" s="43"/>
      <c r="AO45" s="48" t="s">
        <v>101</v>
      </c>
      <c r="AP45" s="42"/>
      <c r="AQ45" s="42"/>
      <c r="AR45" s="42"/>
      <c r="AS45" s="42"/>
      <c r="AT45" s="42"/>
      <c r="AU45" s="42"/>
      <c r="AV45" s="42"/>
      <c r="AW45" s="42"/>
      <c r="AX45" s="43"/>
      <c r="AY45" s="6"/>
      <c r="AZ45" s="6"/>
      <c r="BA45" s="6"/>
    </row>
    <row r="46" spans="1:53" ht="15" customHeight="1">
      <c r="A46" s="52"/>
      <c r="B46" s="53"/>
      <c r="C46" s="54"/>
      <c r="D46" s="52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4"/>
      <c r="U46" s="55" t="s">
        <v>76</v>
      </c>
      <c r="V46" s="42"/>
      <c r="W46" s="42"/>
      <c r="X46" s="42"/>
      <c r="Y46" s="42"/>
      <c r="Z46" s="42"/>
      <c r="AA46" s="42"/>
      <c r="AB46" s="42"/>
      <c r="AC46" s="42"/>
      <c r="AD46" s="43"/>
      <c r="AE46" s="55"/>
      <c r="AF46" s="42"/>
      <c r="AG46" s="42"/>
      <c r="AH46" s="42"/>
      <c r="AI46" s="42"/>
      <c r="AJ46" s="42"/>
      <c r="AK46" s="42"/>
      <c r="AL46" s="42"/>
      <c r="AM46" s="42"/>
      <c r="AN46" s="43"/>
      <c r="AO46" s="55"/>
      <c r="AP46" s="42"/>
      <c r="AQ46" s="42"/>
      <c r="AR46" s="42"/>
      <c r="AS46" s="42"/>
      <c r="AT46" s="42"/>
      <c r="AU46" s="42"/>
      <c r="AV46" s="42"/>
      <c r="AW46" s="42"/>
      <c r="AX46" s="43"/>
      <c r="AY46" s="6"/>
      <c r="AZ46" s="6"/>
      <c r="BA46" s="6"/>
    </row>
    <row r="47" spans="1:53" ht="15" customHeight="1">
      <c r="A47" s="58" t="s">
        <v>102</v>
      </c>
      <c r="B47" s="50"/>
      <c r="C47" s="51"/>
      <c r="D47" s="49" t="s">
        <v>103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1"/>
      <c r="U47" s="48" t="s">
        <v>104</v>
      </c>
      <c r="V47" s="42"/>
      <c r="W47" s="42"/>
      <c r="X47" s="42"/>
      <c r="Y47" s="42"/>
      <c r="Z47" s="42"/>
      <c r="AA47" s="42"/>
      <c r="AB47" s="42"/>
      <c r="AC47" s="42"/>
      <c r="AD47" s="43"/>
      <c r="AE47" s="48" t="s">
        <v>105</v>
      </c>
      <c r="AF47" s="42"/>
      <c r="AG47" s="42"/>
      <c r="AH47" s="42"/>
      <c r="AI47" s="42"/>
      <c r="AJ47" s="42"/>
      <c r="AK47" s="42"/>
      <c r="AL47" s="42"/>
      <c r="AM47" s="42"/>
      <c r="AN47" s="43"/>
      <c r="AO47" s="48" t="s">
        <v>106</v>
      </c>
      <c r="AP47" s="42"/>
      <c r="AQ47" s="42"/>
      <c r="AR47" s="42"/>
      <c r="AS47" s="42"/>
      <c r="AT47" s="42"/>
      <c r="AU47" s="42"/>
      <c r="AV47" s="42"/>
      <c r="AW47" s="42"/>
      <c r="AX47" s="43"/>
      <c r="AY47" s="6"/>
      <c r="AZ47" s="6"/>
      <c r="BA47" s="6"/>
    </row>
    <row r="48" spans="1:53" ht="15" customHeight="1">
      <c r="A48" s="52"/>
      <c r="B48" s="53"/>
      <c r="C48" s="54"/>
      <c r="D48" s="52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4"/>
      <c r="U48" s="57"/>
      <c r="V48" s="42"/>
      <c r="W48" s="42"/>
      <c r="X48" s="42"/>
      <c r="Y48" s="42"/>
      <c r="Z48" s="42"/>
      <c r="AA48" s="42"/>
      <c r="AB48" s="42"/>
      <c r="AC48" s="42"/>
      <c r="AD48" s="43"/>
      <c r="AE48" s="55" t="s">
        <v>76</v>
      </c>
      <c r="AF48" s="42"/>
      <c r="AG48" s="42"/>
      <c r="AH48" s="42"/>
      <c r="AI48" s="42"/>
      <c r="AJ48" s="42"/>
      <c r="AK48" s="42"/>
      <c r="AL48" s="42"/>
      <c r="AM48" s="42"/>
      <c r="AN48" s="43"/>
      <c r="AO48" s="55"/>
      <c r="AP48" s="42"/>
      <c r="AQ48" s="42"/>
      <c r="AR48" s="42"/>
      <c r="AS48" s="42"/>
      <c r="AT48" s="42"/>
      <c r="AU48" s="42"/>
      <c r="AV48" s="42"/>
      <c r="AW48" s="42"/>
      <c r="AX48" s="43"/>
      <c r="AY48" s="6"/>
      <c r="AZ48" s="6"/>
      <c r="BA48" s="6"/>
    </row>
    <row r="49" spans="1:53" ht="30" customHeight="1">
      <c r="A49" s="58" t="s">
        <v>107</v>
      </c>
      <c r="B49" s="50"/>
      <c r="C49" s="51"/>
      <c r="D49" s="59" t="s">
        <v>108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1"/>
      <c r="U49" s="60" t="s">
        <v>109</v>
      </c>
      <c r="V49" s="42"/>
      <c r="W49" s="42"/>
      <c r="X49" s="42"/>
      <c r="Y49" s="42"/>
      <c r="Z49" s="42"/>
      <c r="AA49" s="42"/>
      <c r="AB49" s="42"/>
      <c r="AC49" s="42"/>
      <c r="AD49" s="43"/>
      <c r="AE49" s="60" t="s">
        <v>110</v>
      </c>
      <c r="AF49" s="42"/>
      <c r="AG49" s="42"/>
      <c r="AH49" s="42"/>
      <c r="AI49" s="42"/>
      <c r="AJ49" s="42"/>
      <c r="AK49" s="42"/>
      <c r="AL49" s="42"/>
      <c r="AM49" s="42"/>
      <c r="AN49" s="43"/>
      <c r="AO49" s="48" t="s">
        <v>111</v>
      </c>
      <c r="AP49" s="42"/>
      <c r="AQ49" s="42"/>
      <c r="AR49" s="42"/>
      <c r="AS49" s="42"/>
      <c r="AT49" s="42"/>
      <c r="AU49" s="42"/>
      <c r="AV49" s="42"/>
      <c r="AW49" s="42"/>
      <c r="AX49" s="43"/>
      <c r="AY49" s="6"/>
      <c r="AZ49" s="6"/>
      <c r="BA49" s="6"/>
    </row>
    <row r="50" spans="1:53" ht="15" customHeight="1">
      <c r="A50" s="52"/>
      <c r="B50" s="53"/>
      <c r="C50" s="54"/>
      <c r="D50" s="52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4"/>
      <c r="U50" s="57"/>
      <c r="V50" s="42"/>
      <c r="W50" s="42"/>
      <c r="X50" s="42"/>
      <c r="Y50" s="42"/>
      <c r="Z50" s="42"/>
      <c r="AA50" s="42"/>
      <c r="AB50" s="42"/>
      <c r="AC50" s="42"/>
      <c r="AD50" s="43"/>
      <c r="AE50" s="57"/>
      <c r="AF50" s="42"/>
      <c r="AG50" s="42"/>
      <c r="AH50" s="42"/>
      <c r="AI50" s="42"/>
      <c r="AJ50" s="42"/>
      <c r="AK50" s="42"/>
      <c r="AL50" s="42"/>
      <c r="AM50" s="42"/>
      <c r="AN50" s="43"/>
      <c r="AO50" s="55" t="s">
        <v>112</v>
      </c>
      <c r="AP50" s="42"/>
      <c r="AQ50" s="42"/>
      <c r="AR50" s="42"/>
      <c r="AS50" s="42"/>
      <c r="AT50" s="42"/>
      <c r="AU50" s="42"/>
      <c r="AV50" s="42"/>
      <c r="AW50" s="42"/>
      <c r="AX50" s="43"/>
      <c r="AY50" s="4"/>
      <c r="AZ50" s="4"/>
      <c r="BA50" s="4"/>
    </row>
    <row r="51" spans="1:53" ht="4.5" customHeight="1">
      <c r="A51" s="61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3"/>
      <c r="AZ51" s="3"/>
      <c r="BA51" s="3"/>
    </row>
    <row r="52" spans="1:53" ht="15" customHeight="1">
      <c r="A52" s="48" t="s">
        <v>39</v>
      </c>
      <c r="B52" s="42"/>
      <c r="C52" s="42"/>
      <c r="D52" s="42"/>
      <c r="E52" s="42"/>
      <c r="F52" s="42"/>
      <c r="G52" s="42"/>
      <c r="H52" s="42"/>
      <c r="I52" s="42"/>
      <c r="J52" s="43"/>
      <c r="K52" s="48" t="s">
        <v>113</v>
      </c>
      <c r="L52" s="42"/>
      <c r="M52" s="42"/>
      <c r="N52" s="42"/>
      <c r="O52" s="42"/>
      <c r="P52" s="42"/>
      <c r="Q52" s="42"/>
      <c r="R52" s="42"/>
      <c r="S52" s="42"/>
      <c r="T52" s="43"/>
      <c r="U52" s="48" t="s">
        <v>58</v>
      </c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3"/>
      <c r="AJ52" s="48" t="s">
        <v>59</v>
      </c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3"/>
      <c r="AY52" s="6"/>
      <c r="AZ52" s="6"/>
      <c r="BA52" s="6"/>
    </row>
    <row r="53" spans="1:53" ht="15" customHeight="1">
      <c r="A53" s="48" t="s">
        <v>114</v>
      </c>
      <c r="B53" s="42"/>
      <c r="C53" s="42"/>
      <c r="D53" s="42"/>
      <c r="E53" s="42"/>
      <c r="F53" s="42"/>
      <c r="G53" s="42"/>
      <c r="H53" s="42"/>
      <c r="I53" s="42"/>
      <c r="J53" s="43"/>
      <c r="K53" s="57" t="str">
        <f>AF3</f>
        <v>김서해 주임</v>
      </c>
      <c r="L53" s="42"/>
      <c r="M53" s="42"/>
      <c r="N53" s="42"/>
      <c r="O53" s="42"/>
      <c r="P53" s="42"/>
      <c r="Q53" s="42"/>
      <c r="R53" s="42"/>
      <c r="S53" s="42"/>
      <c r="T53" s="43"/>
      <c r="U53" s="57" t="str">
        <f>VLOOKUP($K$53,담당!$B$2:$D$21,2,0)</f>
        <v>010-4320-3521</v>
      </c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3"/>
      <c r="AJ53" s="57" t="str">
        <f>VLOOKUP($K$53,담당!$B$2:$D$21,3,0)</f>
        <v>seoh1523@gmail.com</v>
      </c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3"/>
      <c r="AY53" s="4"/>
      <c r="AZ53" s="4"/>
      <c r="BA53" s="4"/>
    </row>
    <row r="54" spans="1:53" ht="15" customHeight="1">
      <c r="A54" s="48" t="s">
        <v>115</v>
      </c>
      <c r="B54" s="42"/>
      <c r="C54" s="42"/>
      <c r="D54" s="42"/>
      <c r="E54" s="42"/>
      <c r="F54" s="42"/>
      <c r="G54" s="42"/>
      <c r="H54" s="42"/>
      <c r="I54" s="42"/>
      <c r="J54" s="43"/>
      <c r="K54" s="57" t="s">
        <v>16</v>
      </c>
      <c r="L54" s="42"/>
      <c r="M54" s="42"/>
      <c r="N54" s="42"/>
      <c r="O54" s="42"/>
      <c r="P54" s="42"/>
      <c r="Q54" s="42"/>
      <c r="R54" s="42"/>
      <c r="S54" s="42"/>
      <c r="T54" s="43"/>
      <c r="U54" s="57" t="s">
        <v>116</v>
      </c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3"/>
      <c r="AJ54" s="57" t="s">
        <v>117</v>
      </c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3"/>
      <c r="AY54" s="3"/>
      <c r="AZ54" s="3"/>
      <c r="BA54" s="3"/>
    </row>
    <row r="55" spans="1:53" ht="4.5" customHeight="1">
      <c r="A55" s="61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3"/>
      <c r="AZ55" s="3"/>
      <c r="BA55" s="3"/>
    </row>
    <row r="56" spans="1:53" ht="30" customHeight="1">
      <c r="A56" s="55" t="s">
        <v>118</v>
      </c>
      <c r="B56" s="42"/>
      <c r="C56" s="42"/>
      <c r="D56" s="42"/>
      <c r="E56" s="42"/>
      <c r="F56" s="42"/>
      <c r="G56" s="42"/>
      <c r="H56" s="42"/>
      <c r="I56" s="42"/>
      <c r="J56" s="43"/>
      <c r="K56" s="65" t="s">
        <v>119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3"/>
      <c r="AY56" s="20"/>
      <c r="AZ56" s="20"/>
      <c r="BA56" s="20"/>
    </row>
    <row r="57" spans="1:53" ht="27" customHeight="1">
      <c r="A57" s="66" t="s">
        <v>120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21"/>
      <c r="AZ57" s="21"/>
      <c r="BA57" s="21"/>
    </row>
    <row r="58" spans="1:53" ht="186" customHeight="1">
      <c r="A58" s="6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3"/>
      <c r="Z58" s="63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3"/>
      <c r="AY58" s="3"/>
      <c r="AZ58" s="3"/>
      <c r="BA58" s="3"/>
    </row>
    <row r="59" spans="1:53" ht="18.75" customHeight="1">
      <c r="A59" s="64" t="s">
        <v>121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3"/>
      <c r="Z59" s="64" t="s">
        <v>122</v>
      </c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3"/>
      <c r="AY59" s="22"/>
      <c r="AZ59" s="22"/>
      <c r="BA59" s="22"/>
    </row>
    <row r="60" spans="1:53" ht="18.75" customHeight="1">
      <c r="A60" s="23"/>
      <c r="B60" s="23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</row>
    <row r="61" spans="1:53" ht="27" customHeight="1">
      <c r="A61" s="66" t="s">
        <v>123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21"/>
      <c r="AZ61" s="21"/>
      <c r="BA61" s="21"/>
    </row>
    <row r="62" spans="1:53" ht="186" customHeight="1">
      <c r="A62" s="6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3"/>
      <c r="Z62" s="63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3"/>
      <c r="AY62" s="3"/>
      <c r="AZ62" s="3"/>
      <c r="BA62" s="3"/>
    </row>
    <row r="63" spans="1:53" ht="18.75" customHeight="1">
      <c r="A63" s="64" t="s">
        <v>124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3"/>
      <c r="Z63" s="64" t="s">
        <v>125</v>
      </c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3"/>
      <c r="AY63" s="22"/>
      <c r="AZ63" s="22"/>
      <c r="BA63" s="22"/>
    </row>
    <row r="64" spans="1:53" ht="18.75" customHeight="1">
      <c r="A64" s="23"/>
      <c r="B64" s="23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1:53" ht="18.75" customHeight="1">
      <c r="A65" s="23"/>
      <c r="B65" s="23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8.75" customHeight="1">
      <c r="A66" s="23"/>
      <c r="B66" s="23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</row>
    <row r="67" spans="1:53" ht="18.75" customHeight="1">
      <c r="A67" s="23"/>
      <c r="B67" s="23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8.75" customHeight="1">
      <c r="A68" s="23"/>
      <c r="B68" s="23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</row>
    <row r="69" spans="1:53" ht="18.75" customHeight="1">
      <c r="A69" s="23"/>
      <c r="B69" s="23"/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8.75" customHeight="1">
      <c r="A70" s="23"/>
      <c r="B70" s="23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spans="1:53" ht="18.75" customHeight="1">
      <c r="A71" s="23"/>
      <c r="B71" s="23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8.75" customHeight="1">
      <c r="A72" s="23"/>
      <c r="B72" s="23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spans="1:53" ht="18.75" customHeight="1">
      <c r="A73" s="23"/>
      <c r="B73" s="23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8.75" customHeight="1">
      <c r="A74" s="23"/>
      <c r="B74" s="23"/>
      <c r="C74" s="2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 spans="1:53" ht="18.75" customHeight="1">
      <c r="A75" s="23"/>
      <c r="B75" s="23"/>
      <c r="C75" s="2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8.75" customHeight="1">
      <c r="A76" s="23"/>
      <c r="B76" s="23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</row>
    <row r="77" spans="1:53" ht="26.25" customHeight="1">
      <c r="A77" s="23"/>
      <c r="B77" s="23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26.25" customHeight="1">
      <c r="A78" s="23"/>
      <c r="B78" s="23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1:53" ht="26.25" customHeight="1">
      <c r="A79" s="23"/>
      <c r="B79" s="23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26.25" customHeight="1">
      <c r="A80" s="23"/>
      <c r="B80" s="23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 spans="1:53" ht="26.25" customHeight="1">
      <c r="A81" s="23"/>
      <c r="B81" s="23"/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26.25" customHeight="1">
      <c r="A82" s="23"/>
      <c r="B82" s="23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 spans="1:53" ht="26.25" customHeight="1">
      <c r="A83" s="23"/>
      <c r="B83" s="23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26.25" customHeight="1">
      <c r="A84" s="23"/>
      <c r="B84" s="23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</row>
    <row r="85" spans="1:53" ht="26.25" customHeight="1">
      <c r="A85" s="23"/>
      <c r="B85" s="23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</sheetData>
  <mergeCells count="209">
    <mergeCell ref="AO39:AX39"/>
    <mergeCell ref="AO40:AX40"/>
    <mergeCell ref="A12:G12"/>
    <mergeCell ref="H12:M12"/>
    <mergeCell ref="H13:M13"/>
    <mergeCell ref="A14:M14"/>
    <mergeCell ref="U26:AD26"/>
    <mergeCell ref="AE26:AN26"/>
    <mergeCell ref="K35:T35"/>
    <mergeCell ref="U36:AX36"/>
    <mergeCell ref="K33:T33"/>
    <mergeCell ref="U33:AI33"/>
    <mergeCell ref="AJ33:AX33"/>
    <mergeCell ref="K34:T34"/>
    <mergeCell ref="U34:AI34"/>
    <mergeCell ref="AJ34:AX34"/>
    <mergeCell ref="K36:T38"/>
    <mergeCell ref="U38:AI38"/>
    <mergeCell ref="AJ38:AX38"/>
    <mergeCell ref="AG10:AN10"/>
    <mergeCell ref="AO10:AX10"/>
    <mergeCell ref="O8:V8"/>
    <mergeCell ref="O9:V9"/>
    <mergeCell ref="M10:R10"/>
    <mergeCell ref="S10:X10"/>
    <mergeCell ref="Y10:AF10"/>
    <mergeCell ref="S11:X11"/>
    <mergeCell ref="Y11:AF11"/>
    <mergeCell ref="A6:N9"/>
    <mergeCell ref="A10:L10"/>
    <mergeCell ref="A11:L11"/>
    <mergeCell ref="W6:AF6"/>
    <mergeCell ref="O7:V7"/>
    <mergeCell ref="W8:AF8"/>
    <mergeCell ref="W9:AF9"/>
    <mergeCell ref="AG6:AN6"/>
    <mergeCell ref="AG8:AN8"/>
    <mergeCell ref="AO8:AX8"/>
    <mergeCell ref="AG9:AN9"/>
    <mergeCell ref="AO9:AX9"/>
    <mergeCell ref="A13:G13"/>
    <mergeCell ref="A20:C23"/>
    <mergeCell ref="D20:J23"/>
    <mergeCell ref="K22:T22"/>
    <mergeCell ref="U22:AX22"/>
    <mergeCell ref="K23:T23"/>
    <mergeCell ref="U23:AX23"/>
    <mergeCell ref="A1:AX1"/>
    <mergeCell ref="A2:E2"/>
    <mergeCell ref="F2:R2"/>
    <mergeCell ref="S2:Z2"/>
    <mergeCell ref="AA2:AE2"/>
    <mergeCell ref="AF2:AO2"/>
    <mergeCell ref="A3:E3"/>
    <mergeCell ref="AF3:AO3"/>
    <mergeCell ref="A4:AX4"/>
    <mergeCell ref="A5:N5"/>
    <mergeCell ref="O5:V5"/>
    <mergeCell ref="W5:AX5"/>
    <mergeCell ref="AO6:AX6"/>
    <mergeCell ref="W7:AX7"/>
    <mergeCell ref="F3:Z3"/>
    <mergeCell ref="AA3:AE3"/>
    <mergeCell ref="O6:V6"/>
    <mergeCell ref="A15:AX15"/>
    <mergeCell ref="A16:AX16"/>
    <mergeCell ref="A17:AX17"/>
    <mergeCell ref="A18:C18"/>
    <mergeCell ref="D18:J18"/>
    <mergeCell ref="K18:AX18"/>
    <mergeCell ref="K21:T21"/>
    <mergeCell ref="U21:AD21"/>
    <mergeCell ref="AE21:AN21"/>
    <mergeCell ref="AO21:AX21"/>
    <mergeCell ref="A19:C19"/>
    <mergeCell ref="D19:T19"/>
    <mergeCell ref="U19:AX19"/>
    <mergeCell ref="K20:T20"/>
    <mergeCell ref="U20:AD20"/>
    <mergeCell ref="AE20:AN20"/>
    <mergeCell ref="AO20:AX20"/>
    <mergeCell ref="A24:C32"/>
    <mergeCell ref="A33:C38"/>
    <mergeCell ref="D33:J38"/>
    <mergeCell ref="A39:C42"/>
    <mergeCell ref="D39:J42"/>
    <mergeCell ref="A43:C44"/>
    <mergeCell ref="A45:C46"/>
    <mergeCell ref="AG11:AN11"/>
    <mergeCell ref="AO11:AX11"/>
    <mergeCell ref="M11:R11"/>
    <mergeCell ref="N12:S12"/>
    <mergeCell ref="T12:Y12"/>
    <mergeCell ref="Z12:AE12"/>
    <mergeCell ref="AF12:AK12"/>
    <mergeCell ref="AL12:AQ12"/>
    <mergeCell ref="AR12:AX12"/>
    <mergeCell ref="N13:S13"/>
    <mergeCell ref="T13:Y13"/>
    <mergeCell ref="Z13:AE13"/>
    <mergeCell ref="AF13:AK13"/>
    <mergeCell ref="AL13:AQ13"/>
    <mergeCell ref="AR13:AX13"/>
    <mergeCell ref="AL14:AX14"/>
    <mergeCell ref="N14:AK14"/>
    <mergeCell ref="AO28:AX28"/>
    <mergeCell ref="K29:T29"/>
    <mergeCell ref="U29:AD29"/>
    <mergeCell ref="AE29:AN29"/>
    <mergeCell ref="AO29:AX29"/>
    <mergeCell ref="AE31:AN31"/>
    <mergeCell ref="AO31:AX31"/>
    <mergeCell ref="D24:J32"/>
    <mergeCell ref="U25:AD25"/>
    <mergeCell ref="AE25:AN25"/>
    <mergeCell ref="AO25:AX25"/>
    <mergeCell ref="AO26:AX26"/>
    <mergeCell ref="AO27:AX27"/>
    <mergeCell ref="K32:AX32"/>
    <mergeCell ref="K24:T24"/>
    <mergeCell ref="U24:AD24"/>
    <mergeCell ref="AE24:AN24"/>
    <mergeCell ref="AO24:AX24"/>
    <mergeCell ref="A62:Y62"/>
    <mergeCell ref="Z62:AX62"/>
    <mergeCell ref="A63:Y63"/>
    <mergeCell ref="Z63:AX63"/>
    <mergeCell ref="K56:AX56"/>
    <mergeCell ref="A57:AX57"/>
    <mergeCell ref="A58:Y58"/>
    <mergeCell ref="Z58:AX58"/>
    <mergeCell ref="A59:Y59"/>
    <mergeCell ref="Z59:AX59"/>
    <mergeCell ref="A61:AX61"/>
    <mergeCell ref="A56:J56"/>
    <mergeCell ref="A47:C48"/>
    <mergeCell ref="D49:T50"/>
    <mergeCell ref="U49:AD49"/>
    <mergeCell ref="AE49:AN49"/>
    <mergeCell ref="AO49:AX49"/>
    <mergeCell ref="U50:AD50"/>
    <mergeCell ref="A51:AX51"/>
    <mergeCell ref="U52:AI52"/>
    <mergeCell ref="AJ52:AX52"/>
    <mergeCell ref="U53:AI53"/>
    <mergeCell ref="AJ53:AX53"/>
    <mergeCell ref="U54:AI54"/>
    <mergeCell ref="AJ54:AX54"/>
    <mergeCell ref="A55:AX55"/>
    <mergeCell ref="AE50:AN50"/>
    <mergeCell ref="AO50:AX50"/>
    <mergeCell ref="A49:C50"/>
    <mergeCell ref="A52:J52"/>
    <mergeCell ref="K52:T52"/>
    <mergeCell ref="A53:J53"/>
    <mergeCell ref="K53:T53"/>
    <mergeCell ref="A54:J54"/>
    <mergeCell ref="K54:T54"/>
    <mergeCell ref="U46:AD46"/>
    <mergeCell ref="U47:AD47"/>
    <mergeCell ref="AE47:AN47"/>
    <mergeCell ref="AO47:AX47"/>
    <mergeCell ref="U48:AD48"/>
    <mergeCell ref="AE48:AN48"/>
    <mergeCell ref="AE42:AN42"/>
    <mergeCell ref="AO42:AX42"/>
    <mergeCell ref="D45:T46"/>
    <mergeCell ref="U45:AD45"/>
    <mergeCell ref="AE45:AN45"/>
    <mergeCell ref="AO45:AX45"/>
    <mergeCell ref="D47:T48"/>
    <mergeCell ref="AO48:AX48"/>
    <mergeCell ref="AE46:AN46"/>
    <mergeCell ref="AO46:AX46"/>
    <mergeCell ref="AO30:AX30"/>
    <mergeCell ref="K31:T31"/>
    <mergeCell ref="U31:AD31"/>
    <mergeCell ref="U42:AD42"/>
    <mergeCell ref="U43:AI43"/>
    <mergeCell ref="D43:T44"/>
    <mergeCell ref="U44:AI44"/>
    <mergeCell ref="AJ44:AX44"/>
    <mergeCell ref="K40:T40"/>
    <mergeCell ref="K41:T41"/>
    <mergeCell ref="U41:AD41"/>
    <mergeCell ref="AE41:AN41"/>
    <mergeCell ref="AO41:AX41"/>
    <mergeCell ref="K42:T42"/>
    <mergeCell ref="AJ43:AX43"/>
    <mergeCell ref="U35:AI35"/>
    <mergeCell ref="AJ35:AX35"/>
    <mergeCell ref="U37:AI37"/>
    <mergeCell ref="AJ37:AX37"/>
    <mergeCell ref="U40:AD40"/>
    <mergeCell ref="AE40:AN40"/>
    <mergeCell ref="K39:T39"/>
    <mergeCell ref="U39:AD39"/>
    <mergeCell ref="AE39:AN39"/>
    <mergeCell ref="K26:T26"/>
    <mergeCell ref="K27:T27"/>
    <mergeCell ref="U27:AD27"/>
    <mergeCell ref="AE27:AN27"/>
    <mergeCell ref="K25:T25"/>
    <mergeCell ref="K28:T28"/>
    <mergeCell ref="U28:AD28"/>
    <mergeCell ref="AE28:AN28"/>
    <mergeCell ref="K30:T30"/>
    <mergeCell ref="U30:AD30"/>
    <mergeCell ref="AE30:AN30"/>
  </mergeCells>
  <phoneticPr fontId="20" type="noConversion"/>
  <printOptions horizontalCentered="1"/>
  <pageMargins left="0.11811023622047245" right="0.11811023622047245" top="0.35433070866141736" bottom="0.3543307086614173" header="0" footer="0"/>
  <pageSetup paperSize="9" orientation="portrait"/>
  <rowBreaks count="2" manualBreakCount="2">
    <brk man="1"/>
    <brk id="56" man="1"/>
  </rowBreaks>
  <colBreaks count="1" manualBreakCount="1">
    <brk id="50" man="1"/>
  </colBreaks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단가!$B$13:$B$30</xm:f>
          </x14:formula1>
          <xm:sqref>AF12</xm:sqref>
        </x14:dataValidation>
        <x14:dataValidation type="list" allowBlank="1" showErrorMessage="1" xr:uid="{00000000-0002-0000-0000-000001000000}">
          <x14:formula1>
            <xm:f>담당!$B$2:$B$21</xm:f>
          </x14:formula1>
          <xm:sqref>AF3</xm:sqref>
        </x14:dataValidation>
        <x14:dataValidation type="list" allowBlank="1" showErrorMessage="1" xr:uid="{00000000-0002-0000-0000-000002000000}">
          <x14:formula1>
            <xm:f>배송지!$D$2:$D$9</xm:f>
          </x14:formula1>
          <xm:sqref>U23</xm:sqref>
        </x14:dataValidation>
        <x14:dataValidation type="list" allowBlank="1" showErrorMessage="1" xr:uid="{00000000-0002-0000-0000-000003000000}">
          <x14:formula1>
            <xm:f>단가!$B$3:$B$12</xm:f>
          </x14:formula1>
          <xm:sqref>H12 N12 T12 Z12</xm:sqref>
        </x14:dataValidation>
        <x14:dataValidation type="list" allowBlank="1" showErrorMessage="1" xr:uid="{00000000-0002-0000-0000-000004000000}">
          <x14:formula1>
            <xm:f>단가!$B$12:$B$31</xm:f>
          </x14:formula1>
          <xm:sqref>AL12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2578125" defaultRowHeight="15" customHeight="1"/>
  <cols>
    <col min="1" max="1" width="5.28515625" customWidth="1"/>
    <col min="2" max="2" width="26.7109375" customWidth="1"/>
    <col min="3" max="3" width="20.42578125" customWidth="1"/>
    <col min="4" max="4" width="10.85546875" customWidth="1"/>
    <col min="5" max="5" width="10.7109375" customWidth="1"/>
    <col min="6" max="6" width="12.42578125" customWidth="1"/>
    <col min="7" max="7" width="25.85546875" customWidth="1"/>
    <col min="8" max="26" width="27.42578125" customWidth="1"/>
  </cols>
  <sheetData>
    <row r="1" spans="1:26" ht="24.75" customHeight="1">
      <c r="A1" s="25" t="s">
        <v>126</v>
      </c>
      <c r="B1" s="25" t="s">
        <v>127</v>
      </c>
      <c r="C1" s="26" t="s">
        <v>128</v>
      </c>
      <c r="D1" s="27" t="s">
        <v>129</v>
      </c>
      <c r="E1" s="25"/>
      <c r="F1" s="25"/>
      <c r="G1" s="25"/>
      <c r="H1" s="28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4.75" customHeight="1">
      <c r="A2" s="25">
        <f t="shared" ref="A2:A11" si="0">ROW()-1</f>
        <v>1</v>
      </c>
      <c r="B2" s="25" t="s">
        <v>130</v>
      </c>
      <c r="C2" s="26">
        <v>580000</v>
      </c>
      <c r="D2" s="29">
        <v>620000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4.75" customHeight="1">
      <c r="A3" s="25">
        <f t="shared" si="0"/>
        <v>2</v>
      </c>
      <c r="B3" s="25" t="s">
        <v>17</v>
      </c>
      <c r="C3" s="26">
        <v>580000</v>
      </c>
      <c r="D3" s="29">
        <v>620000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4.75" customHeight="1">
      <c r="A4" s="25">
        <f t="shared" si="0"/>
        <v>3</v>
      </c>
      <c r="B4" s="25" t="s">
        <v>20</v>
      </c>
      <c r="C4" s="26">
        <v>140000</v>
      </c>
      <c r="D4" s="29">
        <v>190000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4.75" customHeight="1">
      <c r="A5" s="25">
        <f t="shared" si="0"/>
        <v>4</v>
      </c>
      <c r="B5" s="25" t="s">
        <v>25</v>
      </c>
      <c r="C5" s="26">
        <v>120000</v>
      </c>
      <c r="D5" s="29">
        <v>140000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4.75" customHeight="1">
      <c r="A6" s="25">
        <f t="shared" si="0"/>
        <v>5</v>
      </c>
      <c r="B6" s="30" t="s">
        <v>131</v>
      </c>
      <c r="C6" s="31"/>
      <c r="D6" s="29">
        <v>1000000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4.75" customHeight="1">
      <c r="A7" s="25">
        <f t="shared" si="0"/>
        <v>6</v>
      </c>
      <c r="B7" s="30" t="s">
        <v>132</v>
      </c>
      <c r="C7" s="31"/>
      <c r="D7" s="29">
        <v>300000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4.75" customHeight="1">
      <c r="A8" s="25">
        <f t="shared" si="0"/>
        <v>7</v>
      </c>
      <c r="B8" s="30" t="s">
        <v>133</v>
      </c>
      <c r="C8" s="26">
        <v>520000</v>
      </c>
      <c r="D8" s="29">
        <v>620000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24.75" customHeight="1">
      <c r="A9" s="25">
        <f t="shared" si="0"/>
        <v>8</v>
      </c>
      <c r="B9" s="25" t="s">
        <v>40</v>
      </c>
      <c r="C9" s="26">
        <v>70000</v>
      </c>
      <c r="D9" s="29">
        <v>70000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4.75" customHeight="1">
      <c r="A10" s="25">
        <f t="shared" si="0"/>
        <v>9</v>
      </c>
      <c r="B10" s="25" t="s">
        <v>134</v>
      </c>
      <c r="C10" s="31"/>
      <c r="D10" s="32">
        <v>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4.75" customHeight="1">
      <c r="A11" s="25">
        <f t="shared" si="0"/>
        <v>10</v>
      </c>
      <c r="B11" s="30" t="s">
        <v>135</v>
      </c>
      <c r="C11" s="31"/>
      <c r="D11" s="32"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4.75" customHeight="1">
      <c r="A12" s="28">
        <v>11</v>
      </c>
      <c r="B12" s="33" t="s">
        <v>42</v>
      </c>
      <c r="C12" s="26">
        <v>250000</v>
      </c>
      <c r="D12" s="29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4.75" customHeight="1">
      <c r="A13" s="25">
        <f t="shared" ref="A13:A32" si="1">ROW()-1</f>
        <v>12</v>
      </c>
      <c r="B13" s="30" t="s">
        <v>136</v>
      </c>
      <c r="C13" s="26">
        <v>1000000</v>
      </c>
      <c r="D13" s="29">
        <v>1380000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4.75" customHeight="1">
      <c r="A14" s="25">
        <f t="shared" si="1"/>
        <v>13</v>
      </c>
      <c r="B14" s="34" t="s">
        <v>137</v>
      </c>
      <c r="C14" s="31">
        <f>C13+100000</f>
        <v>1100000</v>
      </c>
      <c r="D14" s="2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4.75" customHeight="1">
      <c r="A15" s="25">
        <f t="shared" si="1"/>
        <v>14</v>
      </c>
      <c r="B15" s="34" t="s">
        <v>138</v>
      </c>
      <c r="C15" s="31">
        <f>C13</f>
        <v>1000000</v>
      </c>
      <c r="D15" s="29">
        <v>1380000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4.75" customHeight="1">
      <c r="A16" s="25">
        <f t="shared" si="1"/>
        <v>15</v>
      </c>
      <c r="B16" s="34" t="s">
        <v>139</v>
      </c>
      <c r="C16" s="26">
        <v>1700000</v>
      </c>
      <c r="D16" s="29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24.75" customHeight="1">
      <c r="A17" s="25">
        <f t="shared" si="1"/>
        <v>16</v>
      </c>
      <c r="B17" s="34" t="s">
        <v>140</v>
      </c>
      <c r="C17" s="26">
        <v>1600000</v>
      </c>
      <c r="D17" s="2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4.75" customHeight="1">
      <c r="A18" s="25">
        <f t="shared" si="1"/>
        <v>17</v>
      </c>
      <c r="B18" s="30" t="s">
        <v>41</v>
      </c>
      <c r="C18" s="26">
        <v>1000000</v>
      </c>
      <c r="D18" s="29">
        <v>1380000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4.75" customHeight="1">
      <c r="A19" s="25">
        <f t="shared" si="1"/>
        <v>18</v>
      </c>
      <c r="B19" s="34" t="s">
        <v>141</v>
      </c>
      <c r="C19" s="31">
        <f>C18+100000</f>
        <v>1100000</v>
      </c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4.75" customHeight="1">
      <c r="A20" s="25">
        <f t="shared" si="1"/>
        <v>19</v>
      </c>
      <c r="B20" s="34" t="s">
        <v>142</v>
      </c>
      <c r="C20" s="31">
        <f>C18</f>
        <v>1000000</v>
      </c>
      <c r="D20" s="29">
        <v>1380000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4.75" customHeight="1">
      <c r="A21" s="25">
        <f t="shared" si="1"/>
        <v>20</v>
      </c>
      <c r="B21" s="34" t="s">
        <v>143</v>
      </c>
      <c r="C21" s="26">
        <v>1700000</v>
      </c>
      <c r="D21" s="2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4.75" customHeight="1">
      <c r="A22" s="25">
        <f t="shared" si="1"/>
        <v>21</v>
      </c>
      <c r="B22" s="34" t="s">
        <v>144</v>
      </c>
      <c r="C22" s="26">
        <v>1600000</v>
      </c>
      <c r="D22" s="2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4.75" customHeight="1">
      <c r="A23" s="25">
        <f t="shared" si="1"/>
        <v>22</v>
      </c>
      <c r="B23" s="30" t="s">
        <v>145</v>
      </c>
      <c r="C23" s="26">
        <v>1420000</v>
      </c>
      <c r="D23" s="29">
        <v>1660000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24.75" customHeight="1">
      <c r="A24" s="25">
        <f t="shared" si="1"/>
        <v>23</v>
      </c>
      <c r="B24" s="34" t="s">
        <v>146</v>
      </c>
      <c r="C24" s="31">
        <f>C23+100000</f>
        <v>1520000</v>
      </c>
      <c r="D24" s="2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24.75" customHeight="1">
      <c r="A25" s="25">
        <f t="shared" si="1"/>
        <v>24</v>
      </c>
      <c r="B25" s="34" t="s">
        <v>147</v>
      </c>
      <c r="C25" s="31">
        <f>C23</f>
        <v>1420000</v>
      </c>
      <c r="D25" s="29">
        <v>1660000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24.75" customHeight="1">
      <c r="A26" s="25">
        <f t="shared" si="1"/>
        <v>25</v>
      </c>
      <c r="B26" s="34" t="s">
        <v>148</v>
      </c>
      <c r="C26" s="26">
        <v>2320000</v>
      </c>
      <c r="D26" s="2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4.75" customHeight="1">
      <c r="A27" s="25">
        <f t="shared" si="1"/>
        <v>26</v>
      </c>
      <c r="B27" s="34" t="s">
        <v>149</v>
      </c>
      <c r="C27" s="26">
        <v>2220000</v>
      </c>
      <c r="D27" s="2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4.75" customHeight="1">
      <c r="A28" s="25">
        <f t="shared" si="1"/>
        <v>27</v>
      </c>
      <c r="B28" s="30" t="s">
        <v>150</v>
      </c>
      <c r="C28" s="26">
        <v>1420000</v>
      </c>
      <c r="D28" s="29">
        <v>1660000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24.75" customHeight="1">
      <c r="A29" s="25">
        <f t="shared" si="1"/>
        <v>28</v>
      </c>
      <c r="B29" s="34" t="s">
        <v>151</v>
      </c>
      <c r="C29" s="31">
        <f>C28+100000</f>
        <v>1520000</v>
      </c>
      <c r="D29" s="29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4.75" customHeight="1">
      <c r="A30" s="25">
        <f t="shared" si="1"/>
        <v>29</v>
      </c>
      <c r="B30" s="34" t="s">
        <v>152</v>
      </c>
      <c r="C30" s="31">
        <f>C28</f>
        <v>1420000</v>
      </c>
      <c r="D30" s="29">
        <v>1660000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4.75" customHeight="1">
      <c r="A31" s="25">
        <f t="shared" si="1"/>
        <v>30</v>
      </c>
      <c r="B31" s="34" t="s">
        <v>153</v>
      </c>
      <c r="C31" s="26">
        <v>2320000</v>
      </c>
      <c r="D31" s="29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4.75" customHeight="1">
      <c r="A32" s="25">
        <f t="shared" si="1"/>
        <v>31</v>
      </c>
      <c r="B32" s="34" t="s">
        <v>154</v>
      </c>
      <c r="C32" s="26">
        <v>2220000</v>
      </c>
      <c r="D32" s="29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4.75" customHeight="1">
      <c r="A33" s="35" t="s">
        <v>155</v>
      </c>
      <c r="B33" s="36">
        <f>IFERROR(VLOOKUP(' 발주서'!H$12,단가!$B$2:$D$32,2,0)*' 발주서'!H$13,"")</f>
        <v>580000</v>
      </c>
      <c r="C33" s="37">
        <f>IFERROR(VLOOKUP(' 발주서'!T$12,단가!$B$2:$D$32,2,0)*' 발주서'!T$13,"")</f>
        <v>120000</v>
      </c>
      <c r="D33" s="36">
        <f>IFERROR(VLOOKUP(' 발주서'!N$12,단가!$B$2:$D$32,2,0)*' 발주서'!N$13,"")</f>
        <v>140000</v>
      </c>
      <c r="E33" s="36">
        <f>IFERROR(VLOOKUP(' 발주서'!Z$12,단가!$B$2:$D$32,2,0)*' 발주서'!Z$13,"")</f>
        <v>980000</v>
      </c>
      <c r="F33" s="36">
        <f>IFERROR(VLOOKUP(' 발주서'!AF$12,단가!$B$2:$D$32,2,0)*' 발주서'!AF$13,"")</f>
        <v>0</v>
      </c>
      <c r="G33" s="36">
        <f>IFERROR(VLOOKUP(' 발주서'!AL$12,단가!$B$2:$D$32,2,0)*' 발주서'!AL$13,"")</f>
        <v>250000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>
      <c r="A34" s="35" t="s">
        <v>156</v>
      </c>
      <c r="B34" s="36">
        <f>SUM(B33:G33)</f>
        <v>2070000</v>
      </c>
      <c r="C34" s="37"/>
      <c r="D34" s="36"/>
      <c r="E34" s="35"/>
      <c r="F34" s="35"/>
      <c r="G34" s="3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>
      <c r="A35" s="25"/>
      <c r="B35" s="25"/>
      <c r="C35" s="31"/>
      <c r="D35" s="29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24.75" customHeight="1">
      <c r="A36" s="25"/>
      <c r="B36" s="25"/>
      <c r="C36" s="31"/>
      <c r="D36" s="2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24.75" customHeight="1">
      <c r="A37" s="25"/>
      <c r="B37" s="25"/>
      <c r="C37" s="31"/>
      <c r="D37" s="29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24.75" customHeight="1">
      <c r="A38" s="25"/>
      <c r="B38" s="25"/>
      <c r="C38" s="31"/>
      <c r="D38" s="29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24.75" customHeight="1">
      <c r="A39" s="25"/>
      <c r="B39" s="25"/>
      <c r="C39" s="31"/>
      <c r="D39" s="2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24.75" customHeight="1">
      <c r="A40" s="25"/>
      <c r="B40" s="25"/>
      <c r="C40" s="31"/>
      <c r="D40" s="29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24.75" customHeight="1">
      <c r="A41" s="25"/>
      <c r="B41" s="25"/>
      <c r="C41" s="31"/>
      <c r="D41" s="2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24.75" customHeight="1">
      <c r="A42" s="25"/>
      <c r="B42" s="25"/>
      <c r="C42" s="31"/>
      <c r="D42" s="29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24.75" customHeight="1">
      <c r="A43" s="25"/>
      <c r="B43" s="25"/>
      <c r="C43" s="31"/>
      <c r="D43" s="29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24.75" customHeight="1">
      <c r="A44" s="25"/>
      <c r="B44" s="25"/>
      <c r="C44" s="31"/>
      <c r="D44" s="2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24.75" customHeight="1">
      <c r="A45" s="25"/>
      <c r="B45" s="25"/>
      <c r="C45" s="31"/>
      <c r="D45" s="29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4.75" customHeight="1">
      <c r="A46" s="25"/>
      <c r="B46" s="25"/>
      <c r="C46" s="31"/>
      <c r="D46" s="2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4.75" customHeight="1">
      <c r="A47" s="25"/>
      <c r="B47" s="25"/>
      <c r="C47" s="31"/>
      <c r="D47" s="29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4.75" customHeight="1">
      <c r="A48" s="25"/>
      <c r="B48" s="25"/>
      <c r="C48" s="31"/>
      <c r="D48" s="2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24.75" customHeight="1">
      <c r="A49" s="25"/>
      <c r="B49" s="25"/>
      <c r="C49" s="31"/>
      <c r="D49" s="2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24.75" customHeight="1">
      <c r="A50" s="25"/>
      <c r="B50" s="25"/>
      <c r="C50" s="31"/>
      <c r="D50" s="2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24.75" customHeight="1">
      <c r="A51" s="25"/>
      <c r="B51" s="25"/>
      <c r="C51" s="31"/>
      <c r="D51" s="29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24.75" customHeight="1">
      <c r="A52" s="25"/>
      <c r="B52" s="25"/>
      <c r="C52" s="31"/>
      <c r="D52" s="29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24.75" customHeight="1">
      <c r="A53" s="25"/>
      <c r="B53" s="25"/>
      <c r="C53" s="31"/>
      <c r="D53" s="2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24.75" customHeight="1">
      <c r="A54" s="25"/>
      <c r="B54" s="25"/>
      <c r="C54" s="31"/>
      <c r="D54" s="29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24.75" customHeight="1">
      <c r="A55" s="25"/>
      <c r="B55" s="25"/>
      <c r="C55" s="31"/>
      <c r="D55" s="2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24.75" customHeight="1">
      <c r="A56" s="25"/>
      <c r="B56" s="25"/>
      <c r="C56" s="31"/>
      <c r="D56" s="2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24.75" customHeight="1">
      <c r="A57" s="25"/>
      <c r="B57" s="25"/>
      <c r="C57" s="31"/>
      <c r="D57" s="2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24.75" customHeight="1">
      <c r="A58" s="25"/>
      <c r="B58" s="25"/>
      <c r="C58" s="31"/>
      <c r="D58" s="29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24.75" customHeight="1">
      <c r="A59" s="25"/>
      <c r="B59" s="25"/>
      <c r="C59" s="31"/>
      <c r="D59" s="29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24.75" customHeight="1">
      <c r="A60" s="25"/>
      <c r="B60" s="25"/>
      <c r="C60" s="31"/>
      <c r="D60" s="29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24.75" customHeight="1">
      <c r="A61" s="25"/>
      <c r="B61" s="25"/>
      <c r="C61" s="31"/>
      <c r="D61" s="29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24.75" customHeight="1">
      <c r="A62" s="25"/>
      <c r="B62" s="25"/>
      <c r="C62" s="31"/>
      <c r="D62" s="2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24.75" customHeight="1">
      <c r="A63" s="25"/>
      <c r="B63" s="25"/>
      <c r="C63" s="31"/>
      <c r="D63" s="2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24.75" customHeight="1">
      <c r="A64" s="25"/>
      <c r="B64" s="25"/>
      <c r="C64" s="31"/>
      <c r="D64" s="2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24.75" customHeight="1">
      <c r="A65" s="25"/>
      <c r="B65" s="25"/>
      <c r="C65" s="31"/>
      <c r="D65" s="2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24.75" customHeight="1">
      <c r="A66" s="25"/>
      <c r="B66" s="25"/>
      <c r="C66" s="31"/>
      <c r="D66" s="2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24.75" customHeight="1">
      <c r="A67" s="25"/>
      <c r="B67" s="25"/>
      <c r="C67" s="31"/>
      <c r="D67" s="2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24.75" customHeight="1">
      <c r="A68" s="25"/>
      <c r="B68" s="25"/>
      <c r="C68" s="31"/>
      <c r="D68" s="2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24.75" customHeight="1">
      <c r="A69" s="25"/>
      <c r="B69" s="25"/>
      <c r="C69" s="31"/>
      <c r="D69" s="2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24.75" customHeight="1">
      <c r="A70" s="25"/>
      <c r="B70" s="25"/>
      <c r="C70" s="31"/>
      <c r="D70" s="2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24.75" customHeight="1">
      <c r="A71" s="25"/>
      <c r="B71" s="25"/>
      <c r="C71" s="31"/>
      <c r="D71" s="2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24.75" customHeight="1">
      <c r="A72" s="25"/>
      <c r="B72" s="25"/>
      <c r="C72" s="31"/>
      <c r="D72" s="2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24.75" customHeight="1">
      <c r="A73" s="25"/>
      <c r="B73" s="25"/>
      <c r="C73" s="31"/>
      <c r="D73" s="2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24.75" customHeight="1">
      <c r="A74" s="25"/>
      <c r="B74" s="25"/>
      <c r="C74" s="31"/>
      <c r="D74" s="2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24.75" customHeight="1">
      <c r="A75" s="25"/>
      <c r="B75" s="25"/>
      <c r="C75" s="31"/>
      <c r="D75" s="2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24.75" customHeight="1">
      <c r="A76" s="25"/>
      <c r="B76" s="25"/>
      <c r="C76" s="31"/>
      <c r="D76" s="2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24.75" customHeight="1">
      <c r="A77" s="25"/>
      <c r="B77" s="25"/>
      <c r="C77" s="31"/>
      <c r="D77" s="2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24.75" customHeight="1">
      <c r="A78" s="25"/>
      <c r="B78" s="25"/>
      <c r="C78" s="31"/>
      <c r="D78" s="2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24.75" customHeight="1">
      <c r="A79" s="25"/>
      <c r="B79" s="25"/>
      <c r="C79" s="31"/>
      <c r="D79" s="2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24.75" customHeight="1">
      <c r="A80" s="25"/>
      <c r="B80" s="25"/>
      <c r="C80" s="31"/>
      <c r="D80" s="2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24.75" customHeight="1">
      <c r="A81" s="25"/>
      <c r="B81" s="25"/>
      <c r="C81" s="31"/>
      <c r="D81" s="29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24.75" customHeight="1">
      <c r="A82" s="25"/>
      <c r="B82" s="25"/>
      <c r="C82" s="31"/>
      <c r="D82" s="29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24.75" customHeight="1">
      <c r="A83" s="25"/>
      <c r="B83" s="25"/>
      <c r="C83" s="31"/>
      <c r="D83" s="29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24.75" customHeight="1">
      <c r="A84" s="25"/>
      <c r="B84" s="25"/>
      <c r="C84" s="31"/>
      <c r="D84" s="29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24.75" customHeight="1">
      <c r="A85" s="25"/>
      <c r="B85" s="25"/>
      <c r="C85" s="31"/>
      <c r="D85" s="2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24.75" customHeight="1">
      <c r="A86" s="25"/>
      <c r="B86" s="25"/>
      <c r="C86" s="31"/>
      <c r="D86" s="29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24.75" customHeight="1">
      <c r="A87" s="25"/>
      <c r="B87" s="25"/>
      <c r="C87" s="31"/>
      <c r="D87" s="29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24.75" customHeight="1">
      <c r="A88" s="25"/>
      <c r="B88" s="25"/>
      <c r="C88" s="31"/>
      <c r="D88" s="2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24.75" customHeight="1">
      <c r="A89" s="25"/>
      <c r="B89" s="25"/>
      <c r="C89" s="31"/>
      <c r="D89" s="29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24.75" customHeight="1">
      <c r="A90" s="25"/>
      <c r="B90" s="25"/>
      <c r="C90" s="31"/>
      <c r="D90" s="29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24.75" customHeight="1">
      <c r="A91" s="25"/>
      <c r="B91" s="25"/>
      <c r="C91" s="31"/>
      <c r="D91" s="29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24.75" customHeight="1">
      <c r="A92" s="25"/>
      <c r="B92" s="25"/>
      <c r="C92" s="31"/>
      <c r="D92" s="29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24.75" customHeight="1">
      <c r="A93" s="25"/>
      <c r="B93" s="25"/>
      <c r="C93" s="31"/>
      <c r="D93" s="29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24.75" customHeight="1">
      <c r="A94" s="25"/>
      <c r="B94" s="25"/>
      <c r="C94" s="31"/>
      <c r="D94" s="29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24.75" customHeight="1">
      <c r="A95" s="25"/>
      <c r="B95" s="25"/>
      <c r="C95" s="31"/>
      <c r="D95" s="29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24.75" customHeight="1">
      <c r="A96" s="25"/>
      <c r="B96" s="25"/>
      <c r="C96" s="31"/>
      <c r="D96" s="2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24.75" customHeight="1">
      <c r="A97" s="25"/>
      <c r="B97" s="25"/>
      <c r="C97" s="31"/>
      <c r="D97" s="2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24.75" customHeight="1">
      <c r="A98" s="25"/>
      <c r="B98" s="25"/>
      <c r="C98" s="31"/>
      <c r="D98" s="2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24.75" customHeight="1">
      <c r="A99" s="25"/>
      <c r="B99" s="25"/>
      <c r="C99" s="31"/>
      <c r="D99" s="29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24.75" customHeight="1">
      <c r="A100" s="25"/>
      <c r="B100" s="25"/>
      <c r="C100" s="31"/>
      <c r="D100" s="29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24.75" customHeight="1">
      <c r="A101" s="25"/>
      <c r="B101" s="25"/>
      <c r="C101" s="31"/>
      <c r="D101" s="29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24.75" customHeight="1">
      <c r="A102" s="25"/>
      <c r="B102" s="25"/>
      <c r="C102" s="31"/>
      <c r="D102" s="29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24.75" customHeight="1">
      <c r="A103" s="25"/>
      <c r="B103" s="25"/>
      <c r="C103" s="31"/>
      <c r="D103" s="29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24.75" customHeight="1">
      <c r="A104" s="25"/>
      <c r="B104" s="25"/>
      <c r="C104" s="31"/>
      <c r="D104" s="29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24.75" customHeight="1">
      <c r="A105" s="25"/>
      <c r="B105" s="25"/>
      <c r="C105" s="31"/>
      <c r="D105" s="29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24.75" customHeight="1">
      <c r="A106" s="25"/>
      <c r="B106" s="25"/>
      <c r="C106" s="31"/>
      <c r="D106" s="29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24.75" customHeight="1">
      <c r="A107" s="25"/>
      <c r="B107" s="25"/>
      <c r="C107" s="31"/>
      <c r="D107" s="29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24.75" customHeight="1">
      <c r="A108" s="25"/>
      <c r="B108" s="25"/>
      <c r="C108" s="31"/>
      <c r="D108" s="29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24.75" customHeight="1">
      <c r="A109" s="25"/>
      <c r="B109" s="25"/>
      <c r="C109" s="31"/>
      <c r="D109" s="29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24.75" customHeight="1">
      <c r="A110" s="25"/>
      <c r="B110" s="25"/>
      <c r="C110" s="31"/>
      <c r="D110" s="29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24.75" customHeight="1">
      <c r="A111" s="25"/>
      <c r="B111" s="25"/>
      <c r="C111" s="31"/>
      <c r="D111" s="29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24.75" customHeight="1">
      <c r="A112" s="25"/>
      <c r="B112" s="25"/>
      <c r="C112" s="31"/>
      <c r="D112" s="29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24.75" customHeight="1">
      <c r="A113" s="25"/>
      <c r="B113" s="25"/>
      <c r="C113" s="31"/>
      <c r="D113" s="29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24.75" customHeight="1">
      <c r="A114" s="25"/>
      <c r="B114" s="25"/>
      <c r="C114" s="31"/>
      <c r="D114" s="29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24.75" customHeight="1">
      <c r="A115" s="25"/>
      <c r="B115" s="25"/>
      <c r="C115" s="31"/>
      <c r="D115" s="29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24.75" customHeight="1">
      <c r="A116" s="25"/>
      <c r="B116" s="25"/>
      <c r="C116" s="31"/>
      <c r="D116" s="29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24.75" customHeight="1">
      <c r="A117" s="25"/>
      <c r="B117" s="25"/>
      <c r="C117" s="31"/>
      <c r="D117" s="29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24.75" customHeight="1">
      <c r="A118" s="25"/>
      <c r="B118" s="25"/>
      <c r="C118" s="31"/>
      <c r="D118" s="29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24.75" customHeight="1">
      <c r="A119" s="25"/>
      <c r="B119" s="25"/>
      <c r="C119" s="31"/>
      <c r="D119" s="2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24.75" customHeight="1">
      <c r="A120" s="25"/>
      <c r="B120" s="25"/>
      <c r="C120" s="31"/>
      <c r="D120" s="2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24.75" customHeight="1">
      <c r="A121" s="25"/>
      <c r="B121" s="25"/>
      <c r="C121" s="31"/>
      <c r="D121" s="2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24.75" customHeight="1">
      <c r="A122" s="25"/>
      <c r="B122" s="25"/>
      <c r="C122" s="31"/>
      <c r="D122" s="2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24.75" customHeight="1">
      <c r="A123" s="25"/>
      <c r="B123" s="25"/>
      <c r="C123" s="31"/>
      <c r="D123" s="2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24.75" customHeight="1">
      <c r="A124" s="25"/>
      <c r="B124" s="25"/>
      <c r="C124" s="31"/>
      <c r="D124" s="2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24.75" customHeight="1">
      <c r="A125" s="25"/>
      <c r="B125" s="25"/>
      <c r="C125" s="31"/>
      <c r="D125" s="29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24.75" customHeight="1">
      <c r="A126" s="25"/>
      <c r="B126" s="25"/>
      <c r="C126" s="31"/>
      <c r="D126" s="29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24.75" customHeight="1">
      <c r="A127" s="25"/>
      <c r="B127" s="25"/>
      <c r="C127" s="31"/>
      <c r="D127" s="29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24.75" customHeight="1">
      <c r="A128" s="25"/>
      <c r="B128" s="25"/>
      <c r="C128" s="31"/>
      <c r="D128" s="29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24.75" customHeight="1">
      <c r="A129" s="25"/>
      <c r="B129" s="25"/>
      <c r="C129" s="31"/>
      <c r="D129" s="29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24.75" customHeight="1">
      <c r="A130" s="25"/>
      <c r="B130" s="25"/>
      <c r="C130" s="31"/>
      <c r="D130" s="29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24.75" customHeight="1">
      <c r="A131" s="25"/>
      <c r="B131" s="25"/>
      <c r="C131" s="31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24.75" customHeight="1">
      <c r="A132" s="25"/>
      <c r="B132" s="25"/>
      <c r="C132" s="31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24.75" customHeight="1">
      <c r="A133" s="25"/>
      <c r="B133" s="25"/>
      <c r="C133" s="31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24.75" customHeight="1">
      <c r="A134" s="25"/>
      <c r="B134" s="25"/>
      <c r="C134" s="31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24.75" customHeight="1">
      <c r="A135" s="25"/>
      <c r="B135" s="25"/>
      <c r="C135" s="31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24.75" customHeight="1">
      <c r="A136" s="25"/>
      <c r="B136" s="25"/>
      <c r="C136" s="31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24.75" customHeight="1">
      <c r="A137" s="25"/>
      <c r="B137" s="25"/>
      <c r="C137" s="31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24.75" customHeight="1">
      <c r="A138" s="25"/>
      <c r="B138" s="25"/>
      <c r="C138" s="31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24.75" customHeight="1">
      <c r="A139" s="25"/>
      <c r="B139" s="25"/>
      <c r="C139" s="31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24.75" customHeight="1">
      <c r="A140" s="25"/>
      <c r="B140" s="25"/>
      <c r="C140" s="31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24.75" customHeight="1">
      <c r="A141" s="25"/>
      <c r="B141" s="25"/>
      <c r="C141" s="31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24.75" customHeight="1">
      <c r="A142" s="25"/>
      <c r="B142" s="25"/>
      <c r="C142" s="31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24.75" customHeight="1">
      <c r="A143" s="25"/>
      <c r="B143" s="25"/>
      <c r="C143" s="31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24.75" customHeight="1">
      <c r="A144" s="25"/>
      <c r="B144" s="25"/>
      <c r="C144" s="31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24.75" customHeight="1">
      <c r="A145" s="25"/>
      <c r="B145" s="25"/>
      <c r="C145" s="31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24.75" customHeight="1">
      <c r="A146" s="25"/>
      <c r="B146" s="25"/>
      <c r="C146" s="31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24.75" customHeight="1">
      <c r="A147" s="25"/>
      <c r="B147" s="25"/>
      <c r="C147" s="31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24.75" customHeight="1">
      <c r="A148" s="25"/>
      <c r="B148" s="25"/>
      <c r="C148" s="31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24.75" customHeight="1">
      <c r="A149" s="25"/>
      <c r="B149" s="25"/>
      <c r="C149" s="31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24.75" customHeight="1">
      <c r="A150" s="25"/>
      <c r="B150" s="25"/>
      <c r="C150" s="31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24.75" customHeight="1">
      <c r="A151" s="25"/>
      <c r="B151" s="25"/>
      <c r="C151" s="31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24.75" customHeight="1">
      <c r="A152" s="25"/>
      <c r="B152" s="25"/>
      <c r="C152" s="31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24.75" customHeight="1">
      <c r="A153" s="25"/>
      <c r="B153" s="25"/>
      <c r="C153" s="31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24.75" customHeight="1">
      <c r="A154" s="25"/>
      <c r="B154" s="25"/>
      <c r="C154" s="31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24.75" customHeight="1">
      <c r="A155" s="25"/>
      <c r="B155" s="25"/>
      <c r="C155" s="31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24.75" customHeight="1">
      <c r="A156" s="25"/>
      <c r="B156" s="25"/>
      <c r="C156" s="31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24.75" customHeight="1">
      <c r="A157" s="25"/>
      <c r="B157" s="25"/>
      <c r="C157" s="31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24.75" customHeight="1">
      <c r="A158" s="25"/>
      <c r="B158" s="25"/>
      <c r="C158" s="31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24.75" customHeight="1">
      <c r="A159" s="25"/>
      <c r="B159" s="25"/>
      <c r="C159" s="31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24.75" customHeight="1">
      <c r="A160" s="25"/>
      <c r="B160" s="25"/>
      <c r="C160" s="31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24.75" customHeight="1">
      <c r="A161" s="25"/>
      <c r="B161" s="25"/>
      <c r="C161" s="31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24.75" customHeight="1">
      <c r="A162" s="25"/>
      <c r="B162" s="25"/>
      <c r="C162" s="31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24.75" customHeight="1">
      <c r="A163" s="25"/>
      <c r="B163" s="25"/>
      <c r="C163" s="31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24.75" customHeight="1">
      <c r="A164" s="25"/>
      <c r="B164" s="25"/>
      <c r="C164" s="31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24.75" customHeight="1">
      <c r="A165" s="25"/>
      <c r="B165" s="25"/>
      <c r="C165" s="31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24.75" customHeight="1">
      <c r="A166" s="25"/>
      <c r="B166" s="25"/>
      <c r="C166" s="31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24.75" customHeight="1">
      <c r="A167" s="25"/>
      <c r="B167" s="25"/>
      <c r="C167" s="31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24.75" customHeight="1">
      <c r="A168" s="25"/>
      <c r="B168" s="25"/>
      <c r="C168" s="31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24.75" customHeight="1">
      <c r="A169" s="25"/>
      <c r="B169" s="25"/>
      <c r="C169" s="31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24.75" customHeight="1">
      <c r="A170" s="25"/>
      <c r="B170" s="25"/>
      <c r="C170" s="31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24.75" customHeight="1">
      <c r="A171" s="25"/>
      <c r="B171" s="25"/>
      <c r="C171" s="31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24.75" customHeight="1">
      <c r="A172" s="25"/>
      <c r="B172" s="25"/>
      <c r="C172" s="31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24.75" customHeight="1">
      <c r="A173" s="25"/>
      <c r="B173" s="25"/>
      <c r="C173" s="31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24.75" customHeight="1">
      <c r="A174" s="25"/>
      <c r="B174" s="25"/>
      <c r="C174" s="31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24.75" customHeight="1">
      <c r="A175" s="25"/>
      <c r="B175" s="25"/>
      <c r="C175" s="31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24.75" customHeight="1">
      <c r="A176" s="25"/>
      <c r="B176" s="25"/>
      <c r="C176" s="31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24.75" customHeight="1">
      <c r="A177" s="25"/>
      <c r="B177" s="25"/>
      <c r="C177" s="31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24.75" customHeight="1">
      <c r="A178" s="25"/>
      <c r="B178" s="25"/>
      <c r="C178" s="31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24.75" customHeight="1">
      <c r="A179" s="25"/>
      <c r="B179" s="25"/>
      <c r="C179" s="31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24.75" customHeight="1">
      <c r="A180" s="25"/>
      <c r="B180" s="25"/>
      <c r="C180" s="31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24.75" customHeight="1">
      <c r="A181" s="25"/>
      <c r="B181" s="25"/>
      <c r="C181" s="31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24.75" customHeight="1">
      <c r="A182" s="25"/>
      <c r="B182" s="25"/>
      <c r="C182" s="31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24.75" customHeight="1">
      <c r="A183" s="25"/>
      <c r="B183" s="25"/>
      <c r="C183" s="31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24.75" customHeight="1">
      <c r="A184" s="25"/>
      <c r="B184" s="25"/>
      <c r="C184" s="31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24.75" customHeight="1">
      <c r="A185" s="25"/>
      <c r="B185" s="25"/>
      <c r="C185" s="31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24.75" customHeight="1">
      <c r="A186" s="25"/>
      <c r="B186" s="25"/>
      <c r="C186" s="31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24.75" customHeight="1">
      <c r="A187" s="25"/>
      <c r="B187" s="25"/>
      <c r="C187" s="31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24.75" customHeight="1">
      <c r="A188" s="25"/>
      <c r="B188" s="25"/>
      <c r="C188" s="31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24.75" customHeight="1">
      <c r="A189" s="25"/>
      <c r="B189" s="25"/>
      <c r="C189" s="31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24.75" customHeight="1">
      <c r="A190" s="25"/>
      <c r="B190" s="25"/>
      <c r="C190" s="31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24.75" customHeight="1">
      <c r="A191" s="25"/>
      <c r="B191" s="25"/>
      <c r="C191" s="31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24.75" customHeight="1">
      <c r="A192" s="25"/>
      <c r="B192" s="25"/>
      <c r="C192" s="31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24.75" customHeight="1">
      <c r="A193" s="25"/>
      <c r="B193" s="25"/>
      <c r="C193" s="31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24.75" customHeight="1">
      <c r="A194" s="25"/>
      <c r="B194" s="25"/>
      <c r="C194" s="31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24.75" customHeight="1">
      <c r="A195" s="25"/>
      <c r="B195" s="25"/>
      <c r="C195" s="31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24.75" customHeight="1">
      <c r="A196" s="25"/>
      <c r="B196" s="25"/>
      <c r="C196" s="31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24.75" customHeight="1">
      <c r="A197" s="25"/>
      <c r="B197" s="25"/>
      <c r="C197" s="31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24.75" customHeight="1">
      <c r="A198" s="25"/>
      <c r="B198" s="25"/>
      <c r="C198" s="31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24.75" customHeight="1">
      <c r="A199" s="25"/>
      <c r="B199" s="25"/>
      <c r="C199" s="31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24.75" customHeight="1">
      <c r="A200" s="25"/>
      <c r="B200" s="25"/>
      <c r="C200" s="31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24.75" customHeight="1">
      <c r="A201" s="25"/>
      <c r="B201" s="25"/>
      <c r="C201" s="31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24.75" customHeight="1">
      <c r="A202" s="25"/>
      <c r="B202" s="25"/>
      <c r="C202" s="31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24.75" customHeight="1">
      <c r="A203" s="25"/>
      <c r="B203" s="25"/>
      <c r="C203" s="31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24.75" customHeight="1">
      <c r="A204" s="25"/>
      <c r="B204" s="25"/>
      <c r="C204" s="31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24.75" customHeight="1">
      <c r="A205" s="25"/>
      <c r="B205" s="25"/>
      <c r="C205" s="31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24.75" customHeight="1">
      <c r="A206" s="25"/>
      <c r="B206" s="25"/>
      <c r="C206" s="31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24.75" customHeight="1">
      <c r="A207" s="25"/>
      <c r="B207" s="25"/>
      <c r="C207" s="31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24.75" customHeight="1">
      <c r="A208" s="25"/>
      <c r="B208" s="25"/>
      <c r="C208" s="31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24.75" customHeight="1">
      <c r="A209" s="25"/>
      <c r="B209" s="25"/>
      <c r="C209" s="31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24.75" customHeight="1">
      <c r="A210" s="25"/>
      <c r="B210" s="25"/>
      <c r="C210" s="31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24.75" customHeight="1">
      <c r="A211" s="25"/>
      <c r="B211" s="25"/>
      <c r="C211" s="31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24.75" customHeight="1">
      <c r="A212" s="25"/>
      <c r="B212" s="25"/>
      <c r="C212" s="31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24.75" customHeight="1">
      <c r="A213" s="25"/>
      <c r="B213" s="25"/>
      <c r="C213" s="31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24.75" customHeight="1">
      <c r="A214" s="25"/>
      <c r="B214" s="25"/>
      <c r="C214" s="31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24.75" customHeight="1">
      <c r="A215" s="25"/>
      <c r="B215" s="25"/>
      <c r="C215" s="31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24.75" customHeight="1">
      <c r="A216" s="25"/>
      <c r="B216" s="25"/>
      <c r="C216" s="31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24.75" customHeight="1">
      <c r="A217" s="25"/>
      <c r="B217" s="25"/>
      <c r="C217" s="31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24.75" customHeight="1">
      <c r="A218" s="25"/>
      <c r="B218" s="25"/>
      <c r="C218" s="31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24.75" customHeight="1">
      <c r="A219" s="25"/>
      <c r="B219" s="25"/>
      <c r="C219" s="31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24.75" customHeight="1">
      <c r="A220" s="25"/>
      <c r="B220" s="25"/>
      <c r="C220" s="31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24.75" customHeight="1">
      <c r="A221" s="25"/>
      <c r="B221" s="25"/>
      <c r="C221" s="31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24.75" customHeight="1">
      <c r="A222" s="25"/>
      <c r="B222" s="25"/>
      <c r="C222" s="31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24.75" customHeight="1">
      <c r="A223" s="25"/>
      <c r="B223" s="25"/>
      <c r="C223" s="31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24.75" customHeight="1">
      <c r="A224" s="25"/>
      <c r="B224" s="25"/>
      <c r="C224" s="31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24.75" customHeight="1">
      <c r="A225" s="25"/>
      <c r="B225" s="25"/>
      <c r="C225" s="31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24.75" customHeight="1">
      <c r="A226" s="25"/>
      <c r="B226" s="25"/>
      <c r="C226" s="31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24.75" customHeight="1">
      <c r="A227" s="25"/>
      <c r="B227" s="25"/>
      <c r="C227" s="31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24.75" customHeight="1">
      <c r="A228" s="25"/>
      <c r="B228" s="25"/>
      <c r="C228" s="31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24.75" customHeight="1">
      <c r="A229" s="25"/>
      <c r="B229" s="25"/>
      <c r="C229" s="31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24.75" customHeight="1">
      <c r="A230" s="25"/>
      <c r="B230" s="25"/>
      <c r="C230" s="31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24.75" customHeight="1">
      <c r="A231" s="25"/>
      <c r="B231" s="25"/>
      <c r="C231" s="31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24.75" customHeight="1">
      <c r="A232" s="25"/>
      <c r="B232" s="25"/>
      <c r="C232" s="31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24.75" customHeight="1">
      <c r="A233" s="25"/>
      <c r="B233" s="25"/>
      <c r="C233" s="31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24.75" customHeight="1">
      <c r="A234" s="25"/>
      <c r="B234" s="25"/>
      <c r="C234" s="31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24.75" customHeight="1">
      <c r="A235" s="25"/>
      <c r="B235" s="25"/>
      <c r="C235" s="31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24.75" customHeight="1">
      <c r="A236" s="25"/>
      <c r="B236" s="25"/>
      <c r="C236" s="31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24.75" customHeight="1">
      <c r="A237" s="25"/>
      <c r="B237" s="25"/>
      <c r="C237" s="31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24.75" customHeight="1">
      <c r="A238" s="25"/>
      <c r="B238" s="25"/>
      <c r="C238" s="31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24.75" customHeight="1">
      <c r="A239" s="25"/>
      <c r="B239" s="25"/>
      <c r="C239" s="31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24.75" customHeight="1">
      <c r="A240" s="25"/>
      <c r="B240" s="25"/>
      <c r="C240" s="31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24.75" customHeight="1">
      <c r="A241" s="25"/>
      <c r="B241" s="25"/>
      <c r="C241" s="31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24.75" customHeight="1">
      <c r="A242" s="25"/>
      <c r="B242" s="25"/>
      <c r="C242" s="31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24.75" customHeight="1">
      <c r="A243" s="25"/>
      <c r="B243" s="25"/>
      <c r="C243" s="31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24.75" customHeight="1">
      <c r="A244" s="25"/>
      <c r="B244" s="25"/>
      <c r="C244" s="31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24.75" customHeight="1">
      <c r="A245" s="25"/>
      <c r="B245" s="25"/>
      <c r="C245" s="31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24.75" customHeight="1">
      <c r="A246" s="25"/>
      <c r="B246" s="25"/>
      <c r="C246" s="31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24.75" customHeight="1">
      <c r="A247" s="25"/>
      <c r="B247" s="25"/>
      <c r="C247" s="31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24.75" customHeight="1">
      <c r="A248" s="25"/>
      <c r="B248" s="25"/>
      <c r="C248" s="31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24.75" customHeight="1">
      <c r="A249" s="25"/>
      <c r="B249" s="25"/>
      <c r="C249" s="31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24.75" customHeight="1">
      <c r="A250" s="25"/>
      <c r="B250" s="25"/>
      <c r="C250" s="31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24.75" customHeight="1">
      <c r="A251" s="25"/>
      <c r="B251" s="25"/>
      <c r="C251" s="31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24.75" customHeight="1">
      <c r="A252" s="25"/>
      <c r="B252" s="25"/>
      <c r="C252" s="31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24.75" customHeight="1">
      <c r="A253" s="25"/>
      <c r="B253" s="25"/>
      <c r="C253" s="31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24.75" customHeight="1">
      <c r="A254" s="25"/>
      <c r="B254" s="25"/>
      <c r="C254" s="31"/>
      <c r="D254" s="29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24.75" customHeight="1">
      <c r="A255" s="25"/>
      <c r="B255" s="25"/>
      <c r="C255" s="31"/>
      <c r="D255" s="29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24.75" customHeight="1">
      <c r="A256" s="25"/>
      <c r="B256" s="25"/>
      <c r="C256" s="31"/>
      <c r="D256" s="29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24.75" customHeight="1">
      <c r="A257" s="25"/>
      <c r="B257" s="25"/>
      <c r="C257" s="31"/>
      <c r="D257" s="29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24.75" customHeight="1">
      <c r="A258" s="25"/>
      <c r="B258" s="25"/>
      <c r="C258" s="31"/>
      <c r="D258" s="29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24.75" customHeight="1">
      <c r="A259" s="25"/>
      <c r="B259" s="25"/>
      <c r="C259" s="31"/>
      <c r="D259" s="29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24.75" customHeight="1">
      <c r="A260" s="25"/>
      <c r="B260" s="25"/>
      <c r="C260" s="31"/>
      <c r="D260" s="29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24.75" customHeight="1">
      <c r="A261" s="25"/>
      <c r="B261" s="25"/>
      <c r="C261" s="31"/>
      <c r="D261" s="29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24.75" customHeight="1">
      <c r="A262" s="25"/>
      <c r="B262" s="25"/>
      <c r="C262" s="31"/>
      <c r="D262" s="29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24.75" customHeight="1">
      <c r="A263" s="25"/>
      <c r="B263" s="25"/>
      <c r="C263" s="31"/>
      <c r="D263" s="29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24.75" customHeight="1">
      <c r="A264" s="25"/>
      <c r="B264" s="25"/>
      <c r="C264" s="31"/>
      <c r="D264" s="29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24.75" customHeight="1">
      <c r="A265" s="25"/>
      <c r="B265" s="25"/>
      <c r="C265" s="31"/>
      <c r="D265" s="29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24.75" customHeight="1">
      <c r="A266" s="25"/>
      <c r="B266" s="25"/>
      <c r="C266" s="31"/>
      <c r="D266" s="29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24.75" customHeight="1">
      <c r="A267" s="25"/>
      <c r="B267" s="25"/>
      <c r="C267" s="31"/>
      <c r="D267" s="29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24.75" customHeight="1">
      <c r="A268" s="25"/>
      <c r="B268" s="25"/>
      <c r="C268" s="31"/>
      <c r="D268" s="29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24.75" customHeight="1">
      <c r="A269" s="25"/>
      <c r="B269" s="25"/>
      <c r="C269" s="31"/>
      <c r="D269" s="29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24.75" customHeight="1">
      <c r="A270" s="25"/>
      <c r="B270" s="25"/>
      <c r="C270" s="31"/>
      <c r="D270" s="29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24.75" customHeight="1">
      <c r="A271" s="25"/>
      <c r="B271" s="25"/>
      <c r="C271" s="31"/>
      <c r="D271" s="29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24.75" customHeight="1">
      <c r="A272" s="25"/>
      <c r="B272" s="25"/>
      <c r="C272" s="31"/>
      <c r="D272" s="29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24.75" customHeight="1">
      <c r="A273" s="25"/>
      <c r="B273" s="25"/>
      <c r="C273" s="31"/>
      <c r="D273" s="29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24.75" customHeight="1">
      <c r="A274" s="25"/>
      <c r="B274" s="25"/>
      <c r="C274" s="31"/>
      <c r="D274" s="29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24.75" customHeight="1">
      <c r="A275" s="25"/>
      <c r="B275" s="25"/>
      <c r="C275" s="31"/>
      <c r="D275" s="29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24.75" customHeight="1">
      <c r="A276" s="25"/>
      <c r="B276" s="25"/>
      <c r="C276" s="31"/>
      <c r="D276" s="29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24.75" customHeight="1">
      <c r="A277" s="25"/>
      <c r="B277" s="25"/>
      <c r="C277" s="31"/>
      <c r="D277" s="29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24.75" customHeight="1">
      <c r="A278" s="25"/>
      <c r="B278" s="25"/>
      <c r="C278" s="31"/>
      <c r="D278" s="29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24.75" customHeight="1">
      <c r="A279" s="25"/>
      <c r="B279" s="25"/>
      <c r="C279" s="31"/>
      <c r="D279" s="29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24.75" customHeight="1">
      <c r="A280" s="25"/>
      <c r="B280" s="25"/>
      <c r="C280" s="31"/>
      <c r="D280" s="29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24.75" customHeight="1">
      <c r="A281" s="25"/>
      <c r="B281" s="25"/>
      <c r="C281" s="31"/>
      <c r="D281" s="29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24.75" customHeight="1">
      <c r="A282" s="25"/>
      <c r="B282" s="25"/>
      <c r="C282" s="31"/>
      <c r="D282" s="29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24.75" customHeight="1">
      <c r="A283" s="25"/>
      <c r="B283" s="25"/>
      <c r="C283" s="31"/>
      <c r="D283" s="29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24.75" customHeight="1">
      <c r="A284" s="25"/>
      <c r="B284" s="25"/>
      <c r="C284" s="31"/>
      <c r="D284" s="29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24.75" customHeight="1">
      <c r="A285" s="25"/>
      <c r="B285" s="25"/>
      <c r="C285" s="31"/>
      <c r="D285" s="29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24.75" customHeight="1">
      <c r="A286" s="25"/>
      <c r="B286" s="25"/>
      <c r="C286" s="31"/>
      <c r="D286" s="29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24.75" customHeight="1">
      <c r="A287" s="25"/>
      <c r="B287" s="25"/>
      <c r="C287" s="31"/>
      <c r="D287" s="29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24.75" customHeight="1">
      <c r="A288" s="25"/>
      <c r="B288" s="25"/>
      <c r="C288" s="31"/>
      <c r="D288" s="29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24.75" customHeight="1">
      <c r="A289" s="25"/>
      <c r="B289" s="25"/>
      <c r="C289" s="31"/>
      <c r="D289" s="29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24.75" customHeight="1">
      <c r="A290" s="25"/>
      <c r="B290" s="25"/>
      <c r="C290" s="31"/>
      <c r="D290" s="29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24.75" customHeight="1">
      <c r="A291" s="25"/>
      <c r="B291" s="25"/>
      <c r="C291" s="31"/>
      <c r="D291" s="29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24.75" customHeight="1">
      <c r="A292" s="25"/>
      <c r="B292" s="25"/>
      <c r="C292" s="31"/>
      <c r="D292" s="29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24.75" customHeight="1">
      <c r="A293" s="25"/>
      <c r="B293" s="25"/>
      <c r="C293" s="31"/>
      <c r="D293" s="29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24.75" customHeight="1">
      <c r="A294" s="25"/>
      <c r="B294" s="25"/>
      <c r="C294" s="31"/>
      <c r="D294" s="29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24.75" customHeight="1">
      <c r="A295" s="25"/>
      <c r="B295" s="25"/>
      <c r="C295" s="31"/>
      <c r="D295" s="29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24.75" customHeight="1">
      <c r="A296" s="25"/>
      <c r="B296" s="25"/>
      <c r="C296" s="31"/>
      <c r="D296" s="29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24.75" customHeight="1">
      <c r="A297" s="25"/>
      <c r="B297" s="25"/>
      <c r="C297" s="31"/>
      <c r="D297" s="29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24.75" customHeight="1">
      <c r="A298" s="25"/>
      <c r="B298" s="25"/>
      <c r="C298" s="31"/>
      <c r="D298" s="29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24.75" customHeight="1">
      <c r="A299" s="25"/>
      <c r="B299" s="25"/>
      <c r="C299" s="31"/>
      <c r="D299" s="29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24.75" customHeight="1">
      <c r="A300" s="25"/>
      <c r="B300" s="25"/>
      <c r="C300" s="31"/>
      <c r="D300" s="29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24.75" customHeight="1">
      <c r="A301" s="25"/>
      <c r="B301" s="25"/>
      <c r="C301" s="31"/>
      <c r="D301" s="29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24.75" customHeight="1">
      <c r="A302" s="25"/>
      <c r="B302" s="25"/>
      <c r="C302" s="31"/>
      <c r="D302" s="29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24.75" customHeight="1">
      <c r="A303" s="25"/>
      <c r="B303" s="25"/>
      <c r="C303" s="31"/>
      <c r="D303" s="29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24.75" customHeight="1">
      <c r="A304" s="25"/>
      <c r="B304" s="25"/>
      <c r="C304" s="31"/>
      <c r="D304" s="29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24.75" customHeight="1">
      <c r="A305" s="25"/>
      <c r="B305" s="25"/>
      <c r="C305" s="31"/>
      <c r="D305" s="29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24.75" customHeight="1">
      <c r="A306" s="25"/>
      <c r="B306" s="25"/>
      <c r="C306" s="31"/>
      <c r="D306" s="29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24.75" customHeight="1">
      <c r="A307" s="25"/>
      <c r="B307" s="25"/>
      <c r="C307" s="31"/>
      <c r="D307" s="29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24.75" customHeight="1">
      <c r="A308" s="25"/>
      <c r="B308" s="25"/>
      <c r="C308" s="31"/>
      <c r="D308" s="29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24.75" customHeight="1">
      <c r="A309" s="25"/>
      <c r="B309" s="25"/>
      <c r="C309" s="31"/>
      <c r="D309" s="29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24.75" customHeight="1">
      <c r="A310" s="25"/>
      <c r="B310" s="25"/>
      <c r="C310" s="31"/>
      <c r="D310" s="29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24.75" customHeight="1">
      <c r="A311" s="25"/>
      <c r="B311" s="25"/>
      <c r="C311" s="31"/>
      <c r="D311" s="29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24.75" customHeight="1">
      <c r="A312" s="25"/>
      <c r="B312" s="25"/>
      <c r="C312" s="31"/>
      <c r="D312" s="29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24.75" customHeight="1">
      <c r="A313" s="25"/>
      <c r="B313" s="25"/>
      <c r="C313" s="31"/>
      <c r="D313" s="29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24.75" customHeight="1">
      <c r="A314" s="25"/>
      <c r="B314" s="25"/>
      <c r="C314" s="31"/>
      <c r="D314" s="29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24.75" customHeight="1">
      <c r="A315" s="25"/>
      <c r="B315" s="25"/>
      <c r="C315" s="31"/>
      <c r="D315" s="29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24.75" customHeight="1">
      <c r="A316" s="25"/>
      <c r="B316" s="25"/>
      <c r="C316" s="31"/>
      <c r="D316" s="29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24.75" customHeight="1">
      <c r="A317" s="25"/>
      <c r="B317" s="25"/>
      <c r="C317" s="31"/>
      <c r="D317" s="29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24.75" customHeight="1">
      <c r="A318" s="25"/>
      <c r="B318" s="25"/>
      <c r="C318" s="31"/>
      <c r="D318" s="29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24.75" customHeight="1">
      <c r="A319" s="25"/>
      <c r="B319" s="25"/>
      <c r="C319" s="31"/>
      <c r="D319" s="29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24.75" customHeight="1">
      <c r="A320" s="25"/>
      <c r="B320" s="25"/>
      <c r="C320" s="31"/>
      <c r="D320" s="29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24.75" customHeight="1">
      <c r="A321" s="25"/>
      <c r="B321" s="25"/>
      <c r="C321" s="31"/>
      <c r="D321" s="29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24.75" customHeight="1">
      <c r="A322" s="25"/>
      <c r="B322" s="25"/>
      <c r="C322" s="31"/>
      <c r="D322" s="29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24.75" customHeight="1">
      <c r="A323" s="25"/>
      <c r="B323" s="25"/>
      <c r="C323" s="31"/>
      <c r="D323" s="29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24.75" customHeight="1">
      <c r="A324" s="25"/>
      <c r="B324" s="25"/>
      <c r="C324" s="31"/>
      <c r="D324" s="29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24.75" customHeight="1">
      <c r="A325" s="25"/>
      <c r="B325" s="25"/>
      <c r="C325" s="31"/>
      <c r="D325" s="29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24.75" customHeight="1">
      <c r="A326" s="25"/>
      <c r="B326" s="25"/>
      <c r="C326" s="31"/>
      <c r="D326" s="29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24.75" customHeight="1">
      <c r="A327" s="25"/>
      <c r="B327" s="25"/>
      <c r="C327" s="31"/>
      <c r="D327" s="29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24.75" customHeight="1">
      <c r="A328" s="25"/>
      <c r="B328" s="25"/>
      <c r="C328" s="31"/>
      <c r="D328" s="29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24.75" customHeight="1">
      <c r="A329" s="25"/>
      <c r="B329" s="25"/>
      <c r="C329" s="31"/>
      <c r="D329" s="29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24.75" customHeight="1">
      <c r="A330" s="25"/>
      <c r="B330" s="25"/>
      <c r="C330" s="31"/>
      <c r="D330" s="29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24.75" customHeight="1">
      <c r="A331" s="25"/>
      <c r="B331" s="25"/>
      <c r="C331" s="31"/>
      <c r="D331" s="29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24.75" customHeight="1">
      <c r="A332" s="25"/>
      <c r="B332" s="25"/>
      <c r="C332" s="31"/>
      <c r="D332" s="29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24.75" customHeight="1">
      <c r="A333" s="25"/>
      <c r="B333" s="25"/>
      <c r="C333" s="31"/>
      <c r="D333" s="29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24.75" customHeight="1">
      <c r="A334" s="25"/>
      <c r="B334" s="25"/>
      <c r="C334" s="31"/>
      <c r="D334" s="29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24.75" customHeight="1">
      <c r="A335" s="25"/>
      <c r="B335" s="25"/>
      <c r="C335" s="31"/>
      <c r="D335" s="29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24.75" customHeight="1">
      <c r="A336" s="25"/>
      <c r="B336" s="25"/>
      <c r="C336" s="31"/>
      <c r="D336" s="29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24.75" customHeight="1">
      <c r="A337" s="25"/>
      <c r="B337" s="25"/>
      <c r="C337" s="31"/>
      <c r="D337" s="29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24.75" customHeight="1">
      <c r="A338" s="25"/>
      <c r="B338" s="25"/>
      <c r="C338" s="31"/>
      <c r="D338" s="29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24.75" customHeight="1">
      <c r="A339" s="25"/>
      <c r="B339" s="25"/>
      <c r="C339" s="31"/>
      <c r="D339" s="29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24.75" customHeight="1">
      <c r="A340" s="25"/>
      <c r="B340" s="25"/>
      <c r="C340" s="31"/>
      <c r="D340" s="29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24.75" customHeight="1">
      <c r="A341" s="25"/>
      <c r="B341" s="25"/>
      <c r="C341" s="31"/>
      <c r="D341" s="29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24.75" customHeight="1">
      <c r="A342" s="25"/>
      <c r="B342" s="25"/>
      <c r="C342" s="31"/>
      <c r="D342" s="29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24.75" customHeight="1">
      <c r="A343" s="25"/>
      <c r="B343" s="25"/>
      <c r="C343" s="31"/>
      <c r="D343" s="29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24.75" customHeight="1">
      <c r="A344" s="25"/>
      <c r="B344" s="25"/>
      <c r="C344" s="31"/>
      <c r="D344" s="29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24.75" customHeight="1">
      <c r="A345" s="25"/>
      <c r="B345" s="25"/>
      <c r="C345" s="31"/>
      <c r="D345" s="29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24.75" customHeight="1">
      <c r="A346" s="25"/>
      <c r="B346" s="25"/>
      <c r="C346" s="31"/>
      <c r="D346" s="29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24.75" customHeight="1">
      <c r="A347" s="25"/>
      <c r="B347" s="25"/>
      <c r="C347" s="31"/>
      <c r="D347" s="29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24.75" customHeight="1">
      <c r="A348" s="25"/>
      <c r="B348" s="25"/>
      <c r="C348" s="31"/>
      <c r="D348" s="29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24.75" customHeight="1">
      <c r="A349" s="25"/>
      <c r="B349" s="25"/>
      <c r="C349" s="31"/>
      <c r="D349" s="29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24.75" customHeight="1">
      <c r="A350" s="25"/>
      <c r="B350" s="25"/>
      <c r="C350" s="31"/>
      <c r="D350" s="29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24.75" customHeight="1">
      <c r="A351" s="25"/>
      <c r="B351" s="25"/>
      <c r="C351" s="31"/>
      <c r="D351" s="29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24.75" customHeight="1">
      <c r="A352" s="25"/>
      <c r="B352" s="25"/>
      <c r="C352" s="31"/>
      <c r="D352" s="29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24.75" customHeight="1">
      <c r="A353" s="25"/>
      <c r="B353" s="25"/>
      <c r="C353" s="31"/>
      <c r="D353" s="29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24.75" customHeight="1">
      <c r="A354" s="25"/>
      <c r="B354" s="25"/>
      <c r="C354" s="31"/>
      <c r="D354" s="29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24.75" customHeight="1">
      <c r="A355" s="25"/>
      <c r="B355" s="25"/>
      <c r="C355" s="31"/>
      <c r="D355" s="29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24.75" customHeight="1">
      <c r="A356" s="25"/>
      <c r="B356" s="25"/>
      <c r="C356" s="31"/>
      <c r="D356" s="29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24.75" customHeight="1">
      <c r="A357" s="25"/>
      <c r="B357" s="25"/>
      <c r="C357" s="31"/>
      <c r="D357" s="29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24.75" customHeight="1">
      <c r="A358" s="25"/>
      <c r="B358" s="25"/>
      <c r="C358" s="31"/>
      <c r="D358" s="29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24.75" customHeight="1">
      <c r="A359" s="25"/>
      <c r="B359" s="25"/>
      <c r="C359" s="31"/>
      <c r="D359" s="29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24.75" customHeight="1">
      <c r="A360" s="25"/>
      <c r="B360" s="25"/>
      <c r="C360" s="31"/>
      <c r="D360" s="29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24.75" customHeight="1">
      <c r="A361" s="25"/>
      <c r="B361" s="25"/>
      <c r="C361" s="31"/>
      <c r="D361" s="29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24.75" customHeight="1">
      <c r="A362" s="25"/>
      <c r="B362" s="25"/>
      <c r="C362" s="31"/>
      <c r="D362" s="29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24.75" customHeight="1">
      <c r="A363" s="25"/>
      <c r="B363" s="25"/>
      <c r="C363" s="31"/>
      <c r="D363" s="29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24.75" customHeight="1">
      <c r="A364" s="25"/>
      <c r="B364" s="25"/>
      <c r="C364" s="31"/>
      <c r="D364" s="29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24.75" customHeight="1">
      <c r="A365" s="25"/>
      <c r="B365" s="25"/>
      <c r="C365" s="31"/>
      <c r="D365" s="29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24.75" customHeight="1">
      <c r="A366" s="25"/>
      <c r="B366" s="25"/>
      <c r="C366" s="31"/>
      <c r="D366" s="29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24.75" customHeight="1">
      <c r="A367" s="25"/>
      <c r="B367" s="25"/>
      <c r="C367" s="31"/>
      <c r="D367" s="29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24.75" customHeight="1">
      <c r="A368" s="25"/>
      <c r="B368" s="25"/>
      <c r="C368" s="31"/>
      <c r="D368" s="29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24.75" customHeight="1">
      <c r="A369" s="25"/>
      <c r="B369" s="25"/>
      <c r="C369" s="31"/>
      <c r="D369" s="29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24.75" customHeight="1">
      <c r="A370" s="25"/>
      <c r="B370" s="25"/>
      <c r="C370" s="31"/>
      <c r="D370" s="29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24.75" customHeight="1">
      <c r="A371" s="25"/>
      <c r="B371" s="25"/>
      <c r="C371" s="31"/>
      <c r="D371" s="29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24.75" customHeight="1">
      <c r="A372" s="25"/>
      <c r="B372" s="25"/>
      <c r="C372" s="31"/>
      <c r="D372" s="29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24.75" customHeight="1">
      <c r="A373" s="25"/>
      <c r="B373" s="25"/>
      <c r="C373" s="31"/>
      <c r="D373" s="29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24.75" customHeight="1">
      <c r="A374" s="25"/>
      <c r="B374" s="25"/>
      <c r="C374" s="31"/>
      <c r="D374" s="29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24.75" customHeight="1">
      <c r="A375" s="25"/>
      <c r="B375" s="25"/>
      <c r="C375" s="31"/>
      <c r="D375" s="29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24.75" customHeight="1">
      <c r="A376" s="25"/>
      <c r="B376" s="25"/>
      <c r="C376" s="31"/>
      <c r="D376" s="29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24.75" customHeight="1">
      <c r="A377" s="25"/>
      <c r="B377" s="25"/>
      <c r="C377" s="31"/>
      <c r="D377" s="29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24.75" customHeight="1">
      <c r="A378" s="25"/>
      <c r="B378" s="25"/>
      <c r="C378" s="31"/>
      <c r="D378" s="29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24.75" customHeight="1">
      <c r="A379" s="25"/>
      <c r="B379" s="25"/>
      <c r="C379" s="31"/>
      <c r="D379" s="29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24.75" customHeight="1">
      <c r="A380" s="25"/>
      <c r="B380" s="25"/>
      <c r="C380" s="31"/>
      <c r="D380" s="29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24.75" customHeight="1">
      <c r="A381" s="25"/>
      <c r="B381" s="25"/>
      <c r="C381" s="31"/>
      <c r="D381" s="29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24.75" customHeight="1">
      <c r="A382" s="25"/>
      <c r="B382" s="25"/>
      <c r="C382" s="31"/>
      <c r="D382" s="29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24.75" customHeight="1">
      <c r="A383" s="25"/>
      <c r="B383" s="25"/>
      <c r="C383" s="31"/>
      <c r="D383" s="29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24.75" customHeight="1">
      <c r="A384" s="25"/>
      <c r="B384" s="25"/>
      <c r="C384" s="31"/>
      <c r="D384" s="29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24.75" customHeight="1">
      <c r="A385" s="25"/>
      <c r="B385" s="25"/>
      <c r="C385" s="31"/>
      <c r="D385" s="29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24.75" customHeight="1">
      <c r="A386" s="25"/>
      <c r="B386" s="25"/>
      <c r="C386" s="31"/>
      <c r="D386" s="29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24.75" customHeight="1">
      <c r="A387" s="25"/>
      <c r="B387" s="25"/>
      <c r="C387" s="31"/>
      <c r="D387" s="29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24.75" customHeight="1">
      <c r="A388" s="25"/>
      <c r="B388" s="25"/>
      <c r="C388" s="31"/>
      <c r="D388" s="29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24.75" customHeight="1">
      <c r="A389" s="25"/>
      <c r="B389" s="25"/>
      <c r="C389" s="31"/>
      <c r="D389" s="29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24.75" customHeight="1">
      <c r="A390" s="25"/>
      <c r="B390" s="25"/>
      <c r="C390" s="31"/>
      <c r="D390" s="29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24.75" customHeight="1">
      <c r="A391" s="25"/>
      <c r="B391" s="25"/>
      <c r="C391" s="31"/>
      <c r="D391" s="29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24.75" customHeight="1">
      <c r="A392" s="25"/>
      <c r="B392" s="25"/>
      <c r="C392" s="31"/>
      <c r="D392" s="29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24.75" customHeight="1">
      <c r="A393" s="25"/>
      <c r="B393" s="25"/>
      <c r="C393" s="31"/>
      <c r="D393" s="29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24.75" customHeight="1">
      <c r="A394" s="25"/>
      <c r="B394" s="25"/>
      <c r="C394" s="31"/>
      <c r="D394" s="29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24.75" customHeight="1">
      <c r="A395" s="25"/>
      <c r="B395" s="25"/>
      <c r="C395" s="31"/>
      <c r="D395" s="29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24.75" customHeight="1">
      <c r="A396" s="25"/>
      <c r="B396" s="25"/>
      <c r="C396" s="31"/>
      <c r="D396" s="29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24.75" customHeight="1">
      <c r="A397" s="25"/>
      <c r="B397" s="25"/>
      <c r="C397" s="31"/>
      <c r="D397" s="29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24.75" customHeight="1">
      <c r="A398" s="25"/>
      <c r="B398" s="25"/>
      <c r="C398" s="31"/>
      <c r="D398" s="29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24.75" customHeight="1">
      <c r="A399" s="25"/>
      <c r="B399" s="25"/>
      <c r="C399" s="31"/>
      <c r="D399" s="29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24.75" customHeight="1">
      <c r="A400" s="25"/>
      <c r="B400" s="25"/>
      <c r="C400" s="31"/>
      <c r="D400" s="29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24.75" customHeight="1">
      <c r="A401" s="25"/>
      <c r="B401" s="25"/>
      <c r="C401" s="31"/>
      <c r="D401" s="29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24.75" customHeight="1">
      <c r="A402" s="25"/>
      <c r="B402" s="25"/>
      <c r="C402" s="31"/>
      <c r="D402" s="29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24.75" customHeight="1">
      <c r="A403" s="25"/>
      <c r="B403" s="25"/>
      <c r="C403" s="31"/>
      <c r="D403" s="29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24.75" customHeight="1">
      <c r="A404" s="25"/>
      <c r="B404" s="25"/>
      <c r="C404" s="31"/>
      <c r="D404" s="29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24.75" customHeight="1">
      <c r="A405" s="25"/>
      <c r="B405" s="25"/>
      <c r="C405" s="31"/>
      <c r="D405" s="29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24.75" customHeight="1">
      <c r="A406" s="25"/>
      <c r="B406" s="25"/>
      <c r="C406" s="31"/>
      <c r="D406" s="29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24.75" customHeight="1">
      <c r="A407" s="25"/>
      <c r="B407" s="25"/>
      <c r="C407" s="31"/>
      <c r="D407" s="29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24.75" customHeight="1">
      <c r="A408" s="25"/>
      <c r="B408" s="25"/>
      <c r="C408" s="31"/>
      <c r="D408" s="29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24.75" customHeight="1">
      <c r="A409" s="25"/>
      <c r="B409" s="25"/>
      <c r="C409" s="31"/>
      <c r="D409" s="29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24.75" customHeight="1">
      <c r="A410" s="25"/>
      <c r="B410" s="25"/>
      <c r="C410" s="31"/>
      <c r="D410" s="29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24.75" customHeight="1">
      <c r="A411" s="25"/>
      <c r="B411" s="25"/>
      <c r="C411" s="31"/>
      <c r="D411" s="29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24.75" customHeight="1">
      <c r="A412" s="25"/>
      <c r="B412" s="25"/>
      <c r="C412" s="31"/>
      <c r="D412" s="29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24.75" customHeight="1">
      <c r="A413" s="25"/>
      <c r="B413" s="25"/>
      <c r="C413" s="31"/>
      <c r="D413" s="29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24.75" customHeight="1">
      <c r="A414" s="25"/>
      <c r="B414" s="25"/>
      <c r="C414" s="31"/>
      <c r="D414" s="29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24.75" customHeight="1">
      <c r="A415" s="25"/>
      <c r="B415" s="25"/>
      <c r="C415" s="31"/>
      <c r="D415" s="29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24.75" customHeight="1">
      <c r="A416" s="25"/>
      <c r="B416" s="25"/>
      <c r="C416" s="31"/>
      <c r="D416" s="29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24.75" customHeight="1">
      <c r="A417" s="25"/>
      <c r="B417" s="25"/>
      <c r="C417" s="31"/>
      <c r="D417" s="29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24.75" customHeight="1">
      <c r="A418" s="25"/>
      <c r="B418" s="25"/>
      <c r="C418" s="31"/>
      <c r="D418" s="29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24.75" customHeight="1">
      <c r="A419" s="25"/>
      <c r="B419" s="25"/>
      <c r="C419" s="31"/>
      <c r="D419" s="29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24.75" customHeight="1">
      <c r="A420" s="25"/>
      <c r="B420" s="25"/>
      <c r="C420" s="31"/>
      <c r="D420" s="29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24.75" customHeight="1">
      <c r="A421" s="25"/>
      <c r="B421" s="25"/>
      <c r="C421" s="31"/>
      <c r="D421" s="29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24.75" customHeight="1">
      <c r="A422" s="25"/>
      <c r="B422" s="25"/>
      <c r="C422" s="31"/>
      <c r="D422" s="29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24.75" customHeight="1">
      <c r="A423" s="25"/>
      <c r="B423" s="25"/>
      <c r="C423" s="31"/>
      <c r="D423" s="29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24.75" customHeight="1">
      <c r="A424" s="25"/>
      <c r="B424" s="25"/>
      <c r="C424" s="31"/>
      <c r="D424" s="29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24.75" customHeight="1">
      <c r="A425" s="25"/>
      <c r="B425" s="25"/>
      <c r="C425" s="31"/>
      <c r="D425" s="29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24.75" customHeight="1">
      <c r="A426" s="25"/>
      <c r="B426" s="25"/>
      <c r="C426" s="31"/>
      <c r="D426" s="29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24.75" customHeight="1">
      <c r="A427" s="25"/>
      <c r="B427" s="25"/>
      <c r="C427" s="31"/>
      <c r="D427" s="29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24.75" customHeight="1">
      <c r="A428" s="25"/>
      <c r="B428" s="25"/>
      <c r="C428" s="31"/>
      <c r="D428" s="29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24.75" customHeight="1">
      <c r="A429" s="25"/>
      <c r="B429" s="25"/>
      <c r="C429" s="31"/>
      <c r="D429" s="29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24.75" customHeight="1">
      <c r="A430" s="25"/>
      <c r="B430" s="25"/>
      <c r="C430" s="31"/>
      <c r="D430" s="29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24.75" customHeight="1">
      <c r="A431" s="25"/>
      <c r="B431" s="25"/>
      <c r="C431" s="31"/>
      <c r="D431" s="29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24.75" customHeight="1">
      <c r="A432" s="25"/>
      <c r="B432" s="25"/>
      <c r="C432" s="31"/>
      <c r="D432" s="29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24.75" customHeight="1">
      <c r="A433" s="25"/>
      <c r="B433" s="25"/>
      <c r="C433" s="31"/>
      <c r="D433" s="29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24.75" customHeight="1">
      <c r="A434" s="25"/>
      <c r="B434" s="25"/>
      <c r="C434" s="31"/>
      <c r="D434" s="29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24.75" customHeight="1">
      <c r="A435" s="25"/>
      <c r="B435" s="25"/>
      <c r="C435" s="31"/>
      <c r="D435" s="29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24.75" customHeight="1">
      <c r="A436" s="25"/>
      <c r="B436" s="25"/>
      <c r="C436" s="31"/>
      <c r="D436" s="29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24.75" customHeight="1">
      <c r="A437" s="25"/>
      <c r="B437" s="25"/>
      <c r="C437" s="31"/>
      <c r="D437" s="29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24.75" customHeight="1">
      <c r="A438" s="25"/>
      <c r="B438" s="25"/>
      <c r="C438" s="31"/>
      <c r="D438" s="29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24.75" customHeight="1">
      <c r="A439" s="25"/>
      <c r="B439" s="25"/>
      <c r="C439" s="31"/>
      <c r="D439" s="29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24.75" customHeight="1">
      <c r="A440" s="25"/>
      <c r="B440" s="25"/>
      <c r="C440" s="31"/>
      <c r="D440" s="29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24.75" customHeight="1">
      <c r="A441" s="25"/>
      <c r="B441" s="25"/>
      <c r="C441" s="31"/>
      <c r="D441" s="29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24.75" customHeight="1">
      <c r="A442" s="25"/>
      <c r="B442" s="25"/>
      <c r="C442" s="31"/>
      <c r="D442" s="29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24.75" customHeight="1">
      <c r="A443" s="25"/>
      <c r="B443" s="25"/>
      <c r="C443" s="31"/>
      <c r="D443" s="29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24.75" customHeight="1">
      <c r="A444" s="25"/>
      <c r="B444" s="25"/>
      <c r="C444" s="31"/>
      <c r="D444" s="29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24.75" customHeight="1">
      <c r="A445" s="25"/>
      <c r="B445" s="25"/>
      <c r="C445" s="31"/>
      <c r="D445" s="29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24.75" customHeight="1">
      <c r="A446" s="25"/>
      <c r="B446" s="25"/>
      <c r="C446" s="31"/>
      <c r="D446" s="29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24.75" customHeight="1">
      <c r="A447" s="25"/>
      <c r="B447" s="25"/>
      <c r="C447" s="31"/>
      <c r="D447" s="29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24.75" customHeight="1">
      <c r="A448" s="25"/>
      <c r="B448" s="25"/>
      <c r="C448" s="31"/>
      <c r="D448" s="29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24.75" customHeight="1">
      <c r="A449" s="25"/>
      <c r="B449" s="25"/>
      <c r="C449" s="31"/>
      <c r="D449" s="29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24.75" customHeight="1">
      <c r="A450" s="25"/>
      <c r="B450" s="25"/>
      <c r="C450" s="31"/>
      <c r="D450" s="29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24.75" customHeight="1">
      <c r="A451" s="25"/>
      <c r="B451" s="25"/>
      <c r="C451" s="31"/>
      <c r="D451" s="29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24.75" customHeight="1">
      <c r="A452" s="25"/>
      <c r="B452" s="25"/>
      <c r="C452" s="31"/>
      <c r="D452" s="29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24.75" customHeight="1">
      <c r="A453" s="25"/>
      <c r="B453" s="25"/>
      <c r="C453" s="31"/>
      <c r="D453" s="29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24.75" customHeight="1">
      <c r="A454" s="25"/>
      <c r="B454" s="25"/>
      <c r="C454" s="31"/>
      <c r="D454" s="29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24.75" customHeight="1">
      <c r="A455" s="25"/>
      <c r="B455" s="25"/>
      <c r="C455" s="31"/>
      <c r="D455" s="29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24.75" customHeight="1">
      <c r="A456" s="25"/>
      <c r="B456" s="25"/>
      <c r="C456" s="31"/>
      <c r="D456" s="29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24.75" customHeight="1">
      <c r="A457" s="25"/>
      <c r="B457" s="25"/>
      <c r="C457" s="31"/>
      <c r="D457" s="29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24.75" customHeight="1">
      <c r="A458" s="25"/>
      <c r="B458" s="25"/>
      <c r="C458" s="31"/>
      <c r="D458" s="29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24.75" customHeight="1">
      <c r="A459" s="25"/>
      <c r="B459" s="25"/>
      <c r="C459" s="31"/>
      <c r="D459" s="29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24.75" customHeight="1">
      <c r="A460" s="25"/>
      <c r="B460" s="25"/>
      <c r="C460" s="31"/>
      <c r="D460" s="29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24.75" customHeight="1">
      <c r="A461" s="25"/>
      <c r="B461" s="25"/>
      <c r="C461" s="31"/>
      <c r="D461" s="29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24.75" customHeight="1">
      <c r="A462" s="25"/>
      <c r="B462" s="25"/>
      <c r="C462" s="31"/>
      <c r="D462" s="29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24.75" customHeight="1">
      <c r="A463" s="25"/>
      <c r="B463" s="25"/>
      <c r="C463" s="31"/>
      <c r="D463" s="29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24.75" customHeight="1">
      <c r="A464" s="25"/>
      <c r="B464" s="25"/>
      <c r="C464" s="31"/>
      <c r="D464" s="29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24.75" customHeight="1">
      <c r="A465" s="25"/>
      <c r="B465" s="25"/>
      <c r="C465" s="31"/>
      <c r="D465" s="29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24.75" customHeight="1">
      <c r="A466" s="25"/>
      <c r="B466" s="25"/>
      <c r="C466" s="31"/>
      <c r="D466" s="29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24.75" customHeight="1">
      <c r="A467" s="25"/>
      <c r="B467" s="25"/>
      <c r="C467" s="31"/>
      <c r="D467" s="29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24.75" customHeight="1">
      <c r="A468" s="25"/>
      <c r="B468" s="25"/>
      <c r="C468" s="31"/>
      <c r="D468" s="29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24.75" customHeight="1">
      <c r="A469" s="25"/>
      <c r="B469" s="25"/>
      <c r="C469" s="31"/>
      <c r="D469" s="29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24.75" customHeight="1">
      <c r="A470" s="25"/>
      <c r="B470" s="25"/>
      <c r="C470" s="31"/>
      <c r="D470" s="29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24.75" customHeight="1">
      <c r="A471" s="25"/>
      <c r="B471" s="25"/>
      <c r="C471" s="31"/>
      <c r="D471" s="29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24.75" customHeight="1">
      <c r="A472" s="25"/>
      <c r="B472" s="25"/>
      <c r="C472" s="31"/>
      <c r="D472" s="29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24.75" customHeight="1">
      <c r="A473" s="25"/>
      <c r="B473" s="25"/>
      <c r="C473" s="31"/>
      <c r="D473" s="29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24.75" customHeight="1">
      <c r="A474" s="25"/>
      <c r="B474" s="25"/>
      <c r="C474" s="31"/>
      <c r="D474" s="29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24.75" customHeight="1">
      <c r="A475" s="25"/>
      <c r="B475" s="25"/>
      <c r="C475" s="31"/>
      <c r="D475" s="29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24.75" customHeight="1">
      <c r="A476" s="25"/>
      <c r="B476" s="25"/>
      <c r="C476" s="31"/>
      <c r="D476" s="29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24.75" customHeight="1">
      <c r="A477" s="25"/>
      <c r="B477" s="25"/>
      <c r="C477" s="31"/>
      <c r="D477" s="29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24.75" customHeight="1">
      <c r="A478" s="25"/>
      <c r="B478" s="25"/>
      <c r="C478" s="31"/>
      <c r="D478" s="29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24.75" customHeight="1">
      <c r="A479" s="25"/>
      <c r="B479" s="25"/>
      <c r="C479" s="31"/>
      <c r="D479" s="29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24.75" customHeight="1">
      <c r="A480" s="25"/>
      <c r="B480" s="25"/>
      <c r="C480" s="31"/>
      <c r="D480" s="29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24.75" customHeight="1">
      <c r="A481" s="25"/>
      <c r="B481" s="25"/>
      <c r="C481" s="31"/>
      <c r="D481" s="29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24.75" customHeight="1">
      <c r="A482" s="25"/>
      <c r="B482" s="25"/>
      <c r="C482" s="31"/>
      <c r="D482" s="29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24.75" customHeight="1">
      <c r="A483" s="25"/>
      <c r="B483" s="25"/>
      <c r="C483" s="31"/>
      <c r="D483" s="29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24.75" customHeight="1">
      <c r="A484" s="25"/>
      <c r="B484" s="25"/>
      <c r="C484" s="31"/>
      <c r="D484" s="29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24.75" customHeight="1">
      <c r="A485" s="25"/>
      <c r="B485" s="25"/>
      <c r="C485" s="31"/>
      <c r="D485" s="29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24.75" customHeight="1">
      <c r="A486" s="25"/>
      <c r="B486" s="25"/>
      <c r="C486" s="31"/>
      <c r="D486" s="29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24.75" customHeight="1">
      <c r="A487" s="25"/>
      <c r="B487" s="25"/>
      <c r="C487" s="31"/>
      <c r="D487" s="29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24.75" customHeight="1">
      <c r="A488" s="25"/>
      <c r="B488" s="25"/>
      <c r="C488" s="31"/>
      <c r="D488" s="29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24.75" customHeight="1">
      <c r="A489" s="25"/>
      <c r="B489" s="25"/>
      <c r="C489" s="31"/>
      <c r="D489" s="29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24.75" customHeight="1">
      <c r="A490" s="25"/>
      <c r="B490" s="25"/>
      <c r="C490" s="31"/>
      <c r="D490" s="29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24.75" customHeight="1">
      <c r="A491" s="25"/>
      <c r="B491" s="25"/>
      <c r="C491" s="31"/>
      <c r="D491" s="29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24.75" customHeight="1">
      <c r="A492" s="25"/>
      <c r="B492" s="25"/>
      <c r="C492" s="31"/>
      <c r="D492" s="29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24.75" customHeight="1">
      <c r="A493" s="25"/>
      <c r="B493" s="25"/>
      <c r="C493" s="31"/>
      <c r="D493" s="29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24.75" customHeight="1">
      <c r="A494" s="25"/>
      <c r="B494" s="25"/>
      <c r="C494" s="31"/>
      <c r="D494" s="29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24.75" customHeight="1">
      <c r="A495" s="25"/>
      <c r="B495" s="25"/>
      <c r="C495" s="31"/>
      <c r="D495" s="29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24.75" customHeight="1">
      <c r="A496" s="25"/>
      <c r="B496" s="25"/>
      <c r="C496" s="31"/>
      <c r="D496" s="29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24.75" customHeight="1">
      <c r="A497" s="25"/>
      <c r="B497" s="25"/>
      <c r="C497" s="31"/>
      <c r="D497" s="29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24.75" customHeight="1">
      <c r="A498" s="25"/>
      <c r="B498" s="25"/>
      <c r="C498" s="31"/>
      <c r="D498" s="29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24.75" customHeight="1">
      <c r="A499" s="25"/>
      <c r="B499" s="25"/>
      <c r="C499" s="31"/>
      <c r="D499" s="29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24.75" customHeight="1">
      <c r="A500" s="25"/>
      <c r="B500" s="25"/>
      <c r="C500" s="31"/>
      <c r="D500" s="29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24.75" customHeight="1">
      <c r="A501" s="25"/>
      <c r="B501" s="25"/>
      <c r="C501" s="31"/>
      <c r="D501" s="29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24.75" customHeight="1">
      <c r="A502" s="25"/>
      <c r="B502" s="25"/>
      <c r="C502" s="31"/>
      <c r="D502" s="29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24.75" customHeight="1">
      <c r="A503" s="25"/>
      <c r="B503" s="25"/>
      <c r="C503" s="31"/>
      <c r="D503" s="29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24.75" customHeight="1">
      <c r="A504" s="25"/>
      <c r="B504" s="25"/>
      <c r="C504" s="31"/>
      <c r="D504" s="29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24.75" customHeight="1">
      <c r="A505" s="25"/>
      <c r="B505" s="25"/>
      <c r="C505" s="31"/>
      <c r="D505" s="29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24.75" customHeight="1">
      <c r="A506" s="25"/>
      <c r="B506" s="25"/>
      <c r="C506" s="31"/>
      <c r="D506" s="29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24.75" customHeight="1">
      <c r="A507" s="25"/>
      <c r="B507" s="25"/>
      <c r="C507" s="31"/>
      <c r="D507" s="29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24.75" customHeight="1">
      <c r="A508" s="25"/>
      <c r="B508" s="25"/>
      <c r="C508" s="31"/>
      <c r="D508" s="29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24.75" customHeight="1">
      <c r="A509" s="25"/>
      <c r="B509" s="25"/>
      <c r="C509" s="31"/>
      <c r="D509" s="29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24.75" customHeight="1">
      <c r="A510" s="25"/>
      <c r="B510" s="25"/>
      <c r="C510" s="31"/>
      <c r="D510" s="29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24.75" customHeight="1">
      <c r="A511" s="25"/>
      <c r="B511" s="25"/>
      <c r="C511" s="31"/>
      <c r="D511" s="29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24.75" customHeight="1">
      <c r="A512" s="25"/>
      <c r="B512" s="25"/>
      <c r="C512" s="31"/>
      <c r="D512" s="29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24.75" customHeight="1">
      <c r="A513" s="25"/>
      <c r="B513" s="25"/>
      <c r="C513" s="31"/>
      <c r="D513" s="29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24.75" customHeight="1">
      <c r="A514" s="25"/>
      <c r="B514" s="25"/>
      <c r="C514" s="31"/>
      <c r="D514" s="29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24.75" customHeight="1">
      <c r="A515" s="25"/>
      <c r="B515" s="25"/>
      <c r="C515" s="31"/>
      <c r="D515" s="29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24.75" customHeight="1">
      <c r="A516" s="25"/>
      <c r="B516" s="25"/>
      <c r="C516" s="31"/>
      <c r="D516" s="29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24.75" customHeight="1">
      <c r="A517" s="25"/>
      <c r="B517" s="25"/>
      <c r="C517" s="31"/>
      <c r="D517" s="29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24.75" customHeight="1">
      <c r="A518" s="25"/>
      <c r="B518" s="25"/>
      <c r="C518" s="31"/>
      <c r="D518" s="29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24.75" customHeight="1">
      <c r="A519" s="25"/>
      <c r="B519" s="25"/>
      <c r="C519" s="31"/>
      <c r="D519" s="29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24.75" customHeight="1">
      <c r="A520" s="25"/>
      <c r="B520" s="25"/>
      <c r="C520" s="31"/>
      <c r="D520" s="29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24.75" customHeight="1">
      <c r="A521" s="25"/>
      <c r="B521" s="25"/>
      <c r="C521" s="31"/>
      <c r="D521" s="29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24.75" customHeight="1">
      <c r="A522" s="25"/>
      <c r="B522" s="25"/>
      <c r="C522" s="31"/>
      <c r="D522" s="29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24.75" customHeight="1">
      <c r="A523" s="25"/>
      <c r="B523" s="25"/>
      <c r="C523" s="31"/>
      <c r="D523" s="29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24.75" customHeight="1">
      <c r="A524" s="25"/>
      <c r="B524" s="25"/>
      <c r="C524" s="31"/>
      <c r="D524" s="29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24.75" customHeight="1">
      <c r="A525" s="25"/>
      <c r="B525" s="25"/>
      <c r="C525" s="31"/>
      <c r="D525" s="29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24.75" customHeight="1">
      <c r="A526" s="25"/>
      <c r="B526" s="25"/>
      <c r="C526" s="31"/>
      <c r="D526" s="29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24.75" customHeight="1">
      <c r="A527" s="25"/>
      <c r="B527" s="25"/>
      <c r="C527" s="31"/>
      <c r="D527" s="29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24.75" customHeight="1">
      <c r="A528" s="25"/>
      <c r="B528" s="25"/>
      <c r="C528" s="31"/>
      <c r="D528" s="29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24.75" customHeight="1">
      <c r="A529" s="25"/>
      <c r="B529" s="25"/>
      <c r="C529" s="31"/>
      <c r="D529" s="29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24.75" customHeight="1">
      <c r="A530" s="25"/>
      <c r="B530" s="25"/>
      <c r="C530" s="31"/>
      <c r="D530" s="29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24.75" customHeight="1">
      <c r="A531" s="25"/>
      <c r="B531" s="25"/>
      <c r="C531" s="31"/>
      <c r="D531" s="29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24.75" customHeight="1">
      <c r="A532" s="25"/>
      <c r="B532" s="25"/>
      <c r="C532" s="31"/>
      <c r="D532" s="29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24.75" customHeight="1">
      <c r="A533" s="25"/>
      <c r="B533" s="25"/>
      <c r="C533" s="31"/>
      <c r="D533" s="29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24.75" customHeight="1">
      <c r="A534" s="25"/>
      <c r="B534" s="25"/>
      <c r="C534" s="31"/>
      <c r="D534" s="29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24.75" customHeight="1">
      <c r="A535" s="25"/>
      <c r="B535" s="25"/>
      <c r="C535" s="31"/>
      <c r="D535" s="29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24.75" customHeight="1">
      <c r="A536" s="25"/>
      <c r="B536" s="25"/>
      <c r="C536" s="31"/>
      <c r="D536" s="29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24.75" customHeight="1">
      <c r="A537" s="25"/>
      <c r="B537" s="25"/>
      <c r="C537" s="31"/>
      <c r="D537" s="29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24.75" customHeight="1">
      <c r="A538" s="25"/>
      <c r="B538" s="25"/>
      <c r="C538" s="31"/>
      <c r="D538" s="29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24.75" customHeight="1">
      <c r="A539" s="25"/>
      <c r="B539" s="25"/>
      <c r="C539" s="31"/>
      <c r="D539" s="29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24.75" customHeight="1">
      <c r="A540" s="25"/>
      <c r="B540" s="25"/>
      <c r="C540" s="31"/>
      <c r="D540" s="29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24.75" customHeight="1">
      <c r="A541" s="25"/>
      <c r="B541" s="25"/>
      <c r="C541" s="31"/>
      <c r="D541" s="29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24.75" customHeight="1">
      <c r="A542" s="25"/>
      <c r="B542" s="25"/>
      <c r="C542" s="31"/>
      <c r="D542" s="29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24.75" customHeight="1">
      <c r="A543" s="25"/>
      <c r="B543" s="25"/>
      <c r="C543" s="31"/>
      <c r="D543" s="29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24.75" customHeight="1">
      <c r="A544" s="25"/>
      <c r="B544" s="25"/>
      <c r="C544" s="31"/>
      <c r="D544" s="29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24.75" customHeight="1">
      <c r="A545" s="25"/>
      <c r="B545" s="25"/>
      <c r="C545" s="31"/>
      <c r="D545" s="29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24.75" customHeight="1">
      <c r="A546" s="25"/>
      <c r="B546" s="25"/>
      <c r="C546" s="31"/>
      <c r="D546" s="29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24.75" customHeight="1">
      <c r="A547" s="25"/>
      <c r="B547" s="25"/>
      <c r="C547" s="31"/>
      <c r="D547" s="29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24.75" customHeight="1">
      <c r="A548" s="25"/>
      <c r="B548" s="25"/>
      <c r="C548" s="31"/>
      <c r="D548" s="29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24.75" customHeight="1">
      <c r="A549" s="25"/>
      <c r="B549" s="25"/>
      <c r="C549" s="31"/>
      <c r="D549" s="29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24.75" customHeight="1">
      <c r="A550" s="25"/>
      <c r="B550" s="25"/>
      <c r="C550" s="31"/>
      <c r="D550" s="29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24.75" customHeight="1">
      <c r="A551" s="25"/>
      <c r="B551" s="25"/>
      <c r="C551" s="31"/>
      <c r="D551" s="29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24.75" customHeight="1">
      <c r="A552" s="25"/>
      <c r="B552" s="25"/>
      <c r="C552" s="31"/>
      <c r="D552" s="29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24.75" customHeight="1">
      <c r="A553" s="25"/>
      <c r="B553" s="25"/>
      <c r="C553" s="31"/>
      <c r="D553" s="29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24.75" customHeight="1">
      <c r="A554" s="25"/>
      <c r="B554" s="25"/>
      <c r="C554" s="31"/>
      <c r="D554" s="29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24.75" customHeight="1">
      <c r="A555" s="25"/>
      <c r="B555" s="25"/>
      <c r="C555" s="31"/>
      <c r="D555" s="29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24.75" customHeight="1">
      <c r="A556" s="25"/>
      <c r="B556" s="25"/>
      <c r="C556" s="31"/>
      <c r="D556" s="29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24.75" customHeight="1">
      <c r="A557" s="25"/>
      <c r="B557" s="25"/>
      <c r="C557" s="31"/>
      <c r="D557" s="29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24.75" customHeight="1">
      <c r="A558" s="25"/>
      <c r="B558" s="25"/>
      <c r="C558" s="31"/>
      <c r="D558" s="29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24.75" customHeight="1">
      <c r="A559" s="25"/>
      <c r="B559" s="25"/>
      <c r="C559" s="31"/>
      <c r="D559" s="29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24.75" customHeight="1">
      <c r="A560" s="25"/>
      <c r="B560" s="25"/>
      <c r="C560" s="31"/>
      <c r="D560" s="29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24.75" customHeight="1">
      <c r="A561" s="25"/>
      <c r="B561" s="25"/>
      <c r="C561" s="31"/>
      <c r="D561" s="29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24.75" customHeight="1">
      <c r="A562" s="25"/>
      <c r="B562" s="25"/>
      <c r="C562" s="31"/>
      <c r="D562" s="29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24.75" customHeight="1">
      <c r="A563" s="25"/>
      <c r="B563" s="25"/>
      <c r="C563" s="31"/>
      <c r="D563" s="29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24.75" customHeight="1">
      <c r="A564" s="25"/>
      <c r="B564" s="25"/>
      <c r="C564" s="31"/>
      <c r="D564" s="29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24.75" customHeight="1">
      <c r="A565" s="25"/>
      <c r="B565" s="25"/>
      <c r="C565" s="31"/>
      <c r="D565" s="29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24.75" customHeight="1">
      <c r="A566" s="25"/>
      <c r="B566" s="25"/>
      <c r="C566" s="31"/>
      <c r="D566" s="29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24.75" customHeight="1">
      <c r="A567" s="25"/>
      <c r="B567" s="25"/>
      <c r="C567" s="31"/>
      <c r="D567" s="29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24.75" customHeight="1">
      <c r="A568" s="25"/>
      <c r="B568" s="25"/>
      <c r="C568" s="31"/>
      <c r="D568" s="29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24.75" customHeight="1">
      <c r="A569" s="25"/>
      <c r="B569" s="25"/>
      <c r="C569" s="31"/>
      <c r="D569" s="29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24.75" customHeight="1">
      <c r="A570" s="25"/>
      <c r="B570" s="25"/>
      <c r="C570" s="31"/>
      <c r="D570" s="29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24.75" customHeight="1">
      <c r="A571" s="25"/>
      <c r="B571" s="25"/>
      <c r="C571" s="31"/>
      <c r="D571" s="29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24.75" customHeight="1">
      <c r="A572" s="25"/>
      <c r="B572" s="25"/>
      <c r="C572" s="31"/>
      <c r="D572" s="29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24.75" customHeight="1">
      <c r="A573" s="25"/>
      <c r="B573" s="25"/>
      <c r="C573" s="31"/>
      <c r="D573" s="29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24.75" customHeight="1">
      <c r="A574" s="25"/>
      <c r="B574" s="25"/>
      <c r="C574" s="31"/>
      <c r="D574" s="29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24.75" customHeight="1">
      <c r="A575" s="25"/>
      <c r="B575" s="25"/>
      <c r="C575" s="31"/>
      <c r="D575" s="29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24.75" customHeight="1">
      <c r="A576" s="25"/>
      <c r="B576" s="25"/>
      <c r="C576" s="31"/>
      <c r="D576" s="29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24.75" customHeight="1">
      <c r="A577" s="25"/>
      <c r="B577" s="25"/>
      <c r="C577" s="31"/>
      <c r="D577" s="29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24.75" customHeight="1">
      <c r="A578" s="25"/>
      <c r="B578" s="25"/>
      <c r="C578" s="31"/>
      <c r="D578" s="29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24.75" customHeight="1">
      <c r="A579" s="25"/>
      <c r="B579" s="25"/>
      <c r="C579" s="31"/>
      <c r="D579" s="29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24.75" customHeight="1">
      <c r="A580" s="25"/>
      <c r="B580" s="25"/>
      <c r="C580" s="31"/>
      <c r="D580" s="29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24.75" customHeight="1">
      <c r="A581" s="25"/>
      <c r="B581" s="25"/>
      <c r="C581" s="31"/>
      <c r="D581" s="29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24.75" customHeight="1">
      <c r="A582" s="25"/>
      <c r="B582" s="25"/>
      <c r="C582" s="31"/>
      <c r="D582" s="29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24.75" customHeight="1">
      <c r="A583" s="25"/>
      <c r="B583" s="25"/>
      <c r="C583" s="31"/>
      <c r="D583" s="29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24.75" customHeight="1">
      <c r="A584" s="25"/>
      <c r="B584" s="25"/>
      <c r="C584" s="31"/>
      <c r="D584" s="29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24.75" customHeight="1">
      <c r="A585" s="25"/>
      <c r="B585" s="25"/>
      <c r="C585" s="31"/>
      <c r="D585" s="29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24.75" customHeight="1">
      <c r="A586" s="25"/>
      <c r="B586" s="25"/>
      <c r="C586" s="31"/>
      <c r="D586" s="29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24.75" customHeight="1">
      <c r="A587" s="25"/>
      <c r="B587" s="25"/>
      <c r="C587" s="31"/>
      <c r="D587" s="29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24.75" customHeight="1">
      <c r="A588" s="25"/>
      <c r="B588" s="25"/>
      <c r="C588" s="31"/>
      <c r="D588" s="29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24.75" customHeight="1">
      <c r="A589" s="25"/>
      <c r="B589" s="25"/>
      <c r="C589" s="31"/>
      <c r="D589" s="29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24.75" customHeight="1">
      <c r="A590" s="25"/>
      <c r="B590" s="25"/>
      <c r="C590" s="31"/>
      <c r="D590" s="29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24.75" customHeight="1">
      <c r="A591" s="25"/>
      <c r="B591" s="25"/>
      <c r="C591" s="31"/>
      <c r="D591" s="29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24.75" customHeight="1">
      <c r="A592" s="25"/>
      <c r="B592" s="25"/>
      <c r="C592" s="31"/>
      <c r="D592" s="29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24.75" customHeight="1">
      <c r="A593" s="25"/>
      <c r="B593" s="25"/>
      <c r="C593" s="31"/>
      <c r="D593" s="29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24.75" customHeight="1">
      <c r="A594" s="25"/>
      <c r="B594" s="25"/>
      <c r="C594" s="31"/>
      <c r="D594" s="29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24.75" customHeight="1">
      <c r="A595" s="25"/>
      <c r="B595" s="25"/>
      <c r="C595" s="31"/>
      <c r="D595" s="29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24.75" customHeight="1">
      <c r="A596" s="25"/>
      <c r="B596" s="25"/>
      <c r="C596" s="31"/>
      <c r="D596" s="29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24.75" customHeight="1">
      <c r="A597" s="25"/>
      <c r="B597" s="25"/>
      <c r="C597" s="31"/>
      <c r="D597" s="29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24.75" customHeight="1">
      <c r="A598" s="25"/>
      <c r="B598" s="25"/>
      <c r="C598" s="31"/>
      <c r="D598" s="29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24.75" customHeight="1">
      <c r="A599" s="25"/>
      <c r="B599" s="25"/>
      <c r="C599" s="31"/>
      <c r="D599" s="29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24.75" customHeight="1">
      <c r="A600" s="25"/>
      <c r="B600" s="25"/>
      <c r="C600" s="31"/>
      <c r="D600" s="29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24.75" customHeight="1">
      <c r="A601" s="25"/>
      <c r="B601" s="25"/>
      <c r="C601" s="31"/>
      <c r="D601" s="29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24.75" customHeight="1">
      <c r="A602" s="25"/>
      <c r="B602" s="25"/>
      <c r="C602" s="31"/>
      <c r="D602" s="29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24.75" customHeight="1">
      <c r="A603" s="25"/>
      <c r="B603" s="25"/>
      <c r="C603" s="31"/>
      <c r="D603" s="29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24.75" customHeight="1">
      <c r="A604" s="25"/>
      <c r="B604" s="25"/>
      <c r="C604" s="31"/>
      <c r="D604" s="29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24.75" customHeight="1">
      <c r="A605" s="25"/>
      <c r="B605" s="25"/>
      <c r="C605" s="31"/>
      <c r="D605" s="29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24.75" customHeight="1">
      <c r="A606" s="25"/>
      <c r="B606" s="25"/>
      <c r="C606" s="31"/>
      <c r="D606" s="29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24.75" customHeight="1">
      <c r="A607" s="25"/>
      <c r="B607" s="25"/>
      <c r="C607" s="31"/>
      <c r="D607" s="29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24.75" customHeight="1">
      <c r="A608" s="25"/>
      <c r="B608" s="25"/>
      <c r="C608" s="31"/>
      <c r="D608" s="29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24.75" customHeight="1">
      <c r="A609" s="25"/>
      <c r="B609" s="25"/>
      <c r="C609" s="31"/>
      <c r="D609" s="29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24.75" customHeight="1">
      <c r="A610" s="25"/>
      <c r="B610" s="25"/>
      <c r="C610" s="31"/>
      <c r="D610" s="29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24.75" customHeight="1">
      <c r="A611" s="25"/>
      <c r="B611" s="25"/>
      <c r="C611" s="31"/>
      <c r="D611" s="29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24.75" customHeight="1">
      <c r="A612" s="25"/>
      <c r="B612" s="25"/>
      <c r="C612" s="31"/>
      <c r="D612" s="29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24.75" customHeight="1">
      <c r="A613" s="25"/>
      <c r="B613" s="25"/>
      <c r="C613" s="31"/>
      <c r="D613" s="29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24.75" customHeight="1">
      <c r="A614" s="25"/>
      <c r="B614" s="25"/>
      <c r="C614" s="31"/>
      <c r="D614" s="29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24.75" customHeight="1">
      <c r="A615" s="25"/>
      <c r="B615" s="25"/>
      <c r="C615" s="31"/>
      <c r="D615" s="29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24.75" customHeight="1">
      <c r="A616" s="25"/>
      <c r="B616" s="25"/>
      <c r="C616" s="31"/>
      <c r="D616" s="29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24.75" customHeight="1">
      <c r="A617" s="25"/>
      <c r="B617" s="25"/>
      <c r="C617" s="31"/>
      <c r="D617" s="29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24.75" customHeight="1">
      <c r="A618" s="25"/>
      <c r="B618" s="25"/>
      <c r="C618" s="31"/>
      <c r="D618" s="29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24.75" customHeight="1">
      <c r="A619" s="25"/>
      <c r="B619" s="25"/>
      <c r="C619" s="31"/>
      <c r="D619" s="29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24.75" customHeight="1">
      <c r="A620" s="25"/>
      <c r="B620" s="25"/>
      <c r="C620" s="31"/>
      <c r="D620" s="29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24.75" customHeight="1">
      <c r="A621" s="25"/>
      <c r="B621" s="25"/>
      <c r="C621" s="31"/>
      <c r="D621" s="29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24.75" customHeight="1">
      <c r="A622" s="25"/>
      <c r="B622" s="25"/>
      <c r="C622" s="31"/>
      <c r="D622" s="29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24.75" customHeight="1">
      <c r="A623" s="25"/>
      <c r="B623" s="25"/>
      <c r="C623" s="31"/>
      <c r="D623" s="29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24.75" customHeight="1">
      <c r="A624" s="25"/>
      <c r="B624" s="25"/>
      <c r="C624" s="31"/>
      <c r="D624" s="29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24.75" customHeight="1">
      <c r="A625" s="25"/>
      <c r="B625" s="25"/>
      <c r="C625" s="31"/>
      <c r="D625" s="29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24.75" customHeight="1">
      <c r="A626" s="25"/>
      <c r="B626" s="25"/>
      <c r="C626" s="31"/>
      <c r="D626" s="29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24.75" customHeight="1">
      <c r="A627" s="25"/>
      <c r="B627" s="25"/>
      <c r="C627" s="31"/>
      <c r="D627" s="29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24.75" customHeight="1">
      <c r="A628" s="25"/>
      <c r="B628" s="25"/>
      <c r="C628" s="31"/>
      <c r="D628" s="29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24.75" customHeight="1">
      <c r="A629" s="25"/>
      <c r="B629" s="25"/>
      <c r="C629" s="31"/>
      <c r="D629" s="29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24.75" customHeight="1">
      <c r="A630" s="25"/>
      <c r="B630" s="25"/>
      <c r="C630" s="31"/>
      <c r="D630" s="29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24.75" customHeight="1">
      <c r="A631" s="25"/>
      <c r="B631" s="25"/>
      <c r="C631" s="31"/>
      <c r="D631" s="29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24.75" customHeight="1">
      <c r="A632" s="25"/>
      <c r="B632" s="25"/>
      <c r="C632" s="31"/>
      <c r="D632" s="29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24.75" customHeight="1">
      <c r="A633" s="25"/>
      <c r="B633" s="25"/>
      <c r="C633" s="31"/>
      <c r="D633" s="29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24.75" customHeight="1">
      <c r="A634" s="25"/>
      <c r="B634" s="25"/>
      <c r="C634" s="31"/>
      <c r="D634" s="29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24.75" customHeight="1">
      <c r="A635" s="25"/>
      <c r="B635" s="25"/>
      <c r="C635" s="31"/>
      <c r="D635" s="29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24.75" customHeight="1">
      <c r="A636" s="25"/>
      <c r="B636" s="25"/>
      <c r="C636" s="31"/>
      <c r="D636" s="29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24.75" customHeight="1">
      <c r="A637" s="25"/>
      <c r="B637" s="25"/>
      <c r="C637" s="31"/>
      <c r="D637" s="29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24.75" customHeight="1">
      <c r="A638" s="25"/>
      <c r="B638" s="25"/>
      <c r="C638" s="31"/>
      <c r="D638" s="29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24.75" customHeight="1">
      <c r="A639" s="25"/>
      <c r="B639" s="25"/>
      <c r="C639" s="31"/>
      <c r="D639" s="29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24.75" customHeight="1">
      <c r="A640" s="25"/>
      <c r="B640" s="25"/>
      <c r="C640" s="31"/>
      <c r="D640" s="29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24.75" customHeight="1">
      <c r="A641" s="25"/>
      <c r="B641" s="25"/>
      <c r="C641" s="31"/>
      <c r="D641" s="29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24.75" customHeight="1">
      <c r="A642" s="25"/>
      <c r="B642" s="25"/>
      <c r="C642" s="31"/>
      <c r="D642" s="29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24.75" customHeight="1">
      <c r="A643" s="25"/>
      <c r="B643" s="25"/>
      <c r="C643" s="31"/>
      <c r="D643" s="29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24.75" customHeight="1">
      <c r="A644" s="25"/>
      <c r="B644" s="25"/>
      <c r="C644" s="31"/>
      <c r="D644" s="29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24.75" customHeight="1">
      <c r="A645" s="25"/>
      <c r="B645" s="25"/>
      <c r="C645" s="31"/>
      <c r="D645" s="29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24.75" customHeight="1">
      <c r="A646" s="25"/>
      <c r="B646" s="25"/>
      <c r="C646" s="31"/>
      <c r="D646" s="29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24.75" customHeight="1">
      <c r="A647" s="25"/>
      <c r="B647" s="25"/>
      <c r="C647" s="31"/>
      <c r="D647" s="29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24.75" customHeight="1">
      <c r="A648" s="25"/>
      <c r="B648" s="25"/>
      <c r="C648" s="31"/>
      <c r="D648" s="29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24.75" customHeight="1">
      <c r="A649" s="25"/>
      <c r="B649" s="25"/>
      <c r="C649" s="31"/>
      <c r="D649" s="29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24.75" customHeight="1">
      <c r="A650" s="25"/>
      <c r="B650" s="25"/>
      <c r="C650" s="31"/>
      <c r="D650" s="29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24.75" customHeight="1">
      <c r="A651" s="25"/>
      <c r="B651" s="25"/>
      <c r="C651" s="31"/>
      <c r="D651" s="29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24.75" customHeight="1">
      <c r="A652" s="25"/>
      <c r="B652" s="25"/>
      <c r="C652" s="31"/>
      <c r="D652" s="29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24.75" customHeight="1">
      <c r="A653" s="25"/>
      <c r="B653" s="25"/>
      <c r="C653" s="31"/>
      <c r="D653" s="29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24.75" customHeight="1">
      <c r="A654" s="25"/>
      <c r="B654" s="25"/>
      <c r="C654" s="31"/>
      <c r="D654" s="29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24.75" customHeight="1">
      <c r="A655" s="25"/>
      <c r="B655" s="25"/>
      <c r="C655" s="31"/>
      <c r="D655" s="29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24.75" customHeight="1">
      <c r="A656" s="25"/>
      <c r="B656" s="25"/>
      <c r="C656" s="31"/>
      <c r="D656" s="29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24.75" customHeight="1">
      <c r="A657" s="25"/>
      <c r="B657" s="25"/>
      <c r="C657" s="31"/>
      <c r="D657" s="29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24.75" customHeight="1">
      <c r="A658" s="25"/>
      <c r="B658" s="25"/>
      <c r="C658" s="31"/>
      <c r="D658" s="29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24.75" customHeight="1">
      <c r="A659" s="25"/>
      <c r="B659" s="25"/>
      <c r="C659" s="31"/>
      <c r="D659" s="29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24.75" customHeight="1">
      <c r="A660" s="25"/>
      <c r="B660" s="25"/>
      <c r="C660" s="31"/>
      <c r="D660" s="29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24.75" customHeight="1">
      <c r="A661" s="25"/>
      <c r="B661" s="25"/>
      <c r="C661" s="31"/>
      <c r="D661" s="29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24.75" customHeight="1">
      <c r="A662" s="25"/>
      <c r="B662" s="25"/>
      <c r="C662" s="31"/>
      <c r="D662" s="29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24.75" customHeight="1">
      <c r="A663" s="25"/>
      <c r="B663" s="25"/>
      <c r="C663" s="31"/>
      <c r="D663" s="29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24.75" customHeight="1">
      <c r="A664" s="25"/>
      <c r="B664" s="25"/>
      <c r="C664" s="31"/>
      <c r="D664" s="29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24.75" customHeight="1">
      <c r="A665" s="25"/>
      <c r="B665" s="25"/>
      <c r="C665" s="31"/>
      <c r="D665" s="29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24.75" customHeight="1">
      <c r="A666" s="25"/>
      <c r="B666" s="25"/>
      <c r="C666" s="31"/>
      <c r="D666" s="29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24.75" customHeight="1">
      <c r="A667" s="25"/>
      <c r="B667" s="25"/>
      <c r="C667" s="31"/>
      <c r="D667" s="29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24.75" customHeight="1">
      <c r="A668" s="25"/>
      <c r="B668" s="25"/>
      <c r="C668" s="31"/>
      <c r="D668" s="29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24.75" customHeight="1">
      <c r="A669" s="25"/>
      <c r="B669" s="25"/>
      <c r="C669" s="31"/>
      <c r="D669" s="29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24.75" customHeight="1">
      <c r="A670" s="25"/>
      <c r="B670" s="25"/>
      <c r="C670" s="31"/>
      <c r="D670" s="29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24.75" customHeight="1">
      <c r="A671" s="25"/>
      <c r="B671" s="25"/>
      <c r="C671" s="31"/>
      <c r="D671" s="29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24.75" customHeight="1">
      <c r="A672" s="25"/>
      <c r="B672" s="25"/>
      <c r="C672" s="31"/>
      <c r="D672" s="29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24.75" customHeight="1">
      <c r="A673" s="25"/>
      <c r="B673" s="25"/>
      <c r="C673" s="31"/>
      <c r="D673" s="29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24.75" customHeight="1">
      <c r="A674" s="25"/>
      <c r="B674" s="25"/>
      <c r="C674" s="31"/>
      <c r="D674" s="29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24.75" customHeight="1">
      <c r="A675" s="25"/>
      <c r="B675" s="25"/>
      <c r="C675" s="31"/>
      <c r="D675" s="29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24.75" customHeight="1">
      <c r="A676" s="25"/>
      <c r="B676" s="25"/>
      <c r="C676" s="31"/>
      <c r="D676" s="29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24.75" customHeight="1">
      <c r="A677" s="25"/>
      <c r="B677" s="25"/>
      <c r="C677" s="31"/>
      <c r="D677" s="29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24.75" customHeight="1">
      <c r="A678" s="25"/>
      <c r="B678" s="25"/>
      <c r="C678" s="31"/>
      <c r="D678" s="29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24.75" customHeight="1">
      <c r="A679" s="25"/>
      <c r="B679" s="25"/>
      <c r="C679" s="31"/>
      <c r="D679" s="29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24.75" customHeight="1">
      <c r="A680" s="25"/>
      <c r="B680" s="25"/>
      <c r="C680" s="31"/>
      <c r="D680" s="29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24.75" customHeight="1">
      <c r="A681" s="25"/>
      <c r="B681" s="25"/>
      <c r="C681" s="31"/>
      <c r="D681" s="29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24.75" customHeight="1">
      <c r="A682" s="25"/>
      <c r="B682" s="25"/>
      <c r="C682" s="31"/>
      <c r="D682" s="29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24.75" customHeight="1">
      <c r="A683" s="25"/>
      <c r="B683" s="25"/>
      <c r="C683" s="31"/>
      <c r="D683" s="29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24.75" customHeight="1">
      <c r="A684" s="25"/>
      <c r="B684" s="25"/>
      <c r="C684" s="31"/>
      <c r="D684" s="29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24.75" customHeight="1">
      <c r="A685" s="25"/>
      <c r="B685" s="25"/>
      <c r="C685" s="31"/>
      <c r="D685" s="29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24.75" customHeight="1">
      <c r="A686" s="25"/>
      <c r="B686" s="25"/>
      <c r="C686" s="31"/>
      <c r="D686" s="29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24.75" customHeight="1">
      <c r="A687" s="25"/>
      <c r="B687" s="25"/>
      <c r="C687" s="31"/>
      <c r="D687" s="29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24.75" customHeight="1">
      <c r="A688" s="25"/>
      <c r="B688" s="25"/>
      <c r="C688" s="31"/>
      <c r="D688" s="29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24.75" customHeight="1">
      <c r="A689" s="25"/>
      <c r="B689" s="25"/>
      <c r="C689" s="31"/>
      <c r="D689" s="29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24.75" customHeight="1">
      <c r="A690" s="25"/>
      <c r="B690" s="25"/>
      <c r="C690" s="31"/>
      <c r="D690" s="29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24.75" customHeight="1">
      <c r="A691" s="25"/>
      <c r="B691" s="25"/>
      <c r="C691" s="31"/>
      <c r="D691" s="29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24.75" customHeight="1">
      <c r="A692" s="25"/>
      <c r="B692" s="25"/>
      <c r="C692" s="31"/>
      <c r="D692" s="29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24.75" customHeight="1">
      <c r="A693" s="25"/>
      <c r="B693" s="25"/>
      <c r="C693" s="31"/>
      <c r="D693" s="29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24.75" customHeight="1">
      <c r="A694" s="25"/>
      <c r="B694" s="25"/>
      <c r="C694" s="31"/>
      <c r="D694" s="29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24.75" customHeight="1">
      <c r="A695" s="25"/>
      <c r="B695" s="25"/>
      <c r="C695" s="31"/>
      <c r="D695" s="29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24.75" customHeight="1">
      <c r="A696" s="25"/>
      <c r="B696" s="25"/>
      <c r="C696" s="31"/>
      <c r="D696" s="29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24.75" customHeight="1">
      <c r="A697" s="25"/>
      <c r="B697" s="25"/>
      <c r="C697" s="31"/>
      <c r="D697" s="29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24.75" customHeight="1">
      <c r="A698" s="25"/>
      <c r="B698" s="25"/>
      <c r="C698" s="31"/>
      <c r="D698" s="29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24.75" customHeight="1">
      <c r="A699" s="25"/>
      <c r="B699" s="25"/>
      <c r="C699" s="31"/>
      <c r="D699" s="29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24.75" customHeight="1">
      <c r="A700" s="25"/>
      <c r="B700" s="25"/>
      <c r="C700" s="31"/>
      <c r="D700" s="29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24.75" customHeight="1">
      <c r="A701" s="25"/>
      <c r="B701" s="25"/>
      <c r="C701" s="31"/>
      <c r="D701" s="29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24.75" customHeight="1">
      <c r="A702" s="25"/>
      <c r="B702" s="25"/>
      <c r="C702" s="31"/>
      <c r="D702" s="29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24.75" customHeight="1">
      <c r="A703" s="25"/>
      <c r="B703" s="25"/>
      <c r="C703" s="31"/>
      <c r="D703" s="29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24.75" customHeight="1">
      <c r="A704" s="25"/>
      <c r="B704" s="25"/>
      <c r="C704" s="31"/>
      <c r="D704" s="29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24.75" customHeight="1">
      <c r="A705" s="25"/>
      <c r="B705" s="25"/>
      <c r="C705" s="31"/>
      <c r="D705" s="29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24.75" customHeight="1">
      <c r="A706" s="25"/>
      <c r="B706" s="25"/>
      <c r="C706" s="31"/>
      <c r="D706" s="29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24.75" customHeight="1">
      <c r="A707" s="25"/>
      <c r="B707" s="25"/>
      <c r="C707" s="31"/>
      <c r="D707" s="29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24.75" customHeight="1">
      <c r="A708" s="25"/>
      <c r="B708" s="25"/>
      <c r="C708" s="31"/>
      <c r="D708" s="29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24.75" customHeight="1">
      <c r="A709" s="25"/>
      <c r="B709" s="25"/>
      <c r="C709" s="31"/>
      <c r="D709" s="29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24.75" customHeight="1">
      <c r="A710" s="25"/>
      <c r="B710" s="25"/>
      <c r="C710" s="31"/>
      <c r="D710" s="29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24.75" customHeight="1">
      <c r="A711" s="25"/>
      <c r="B711" s="25"/>
      <c r="C711" s="31"/>
      <c r="D711" s="29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24.75" customHeight="1">
      <c r="A712" s="25"/>
      <c r="B712" s="25"/>
      <c r="C712" s="31"/>
      <c r="D712" s="29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24.75" customHeight="1">
      <c r="A713" s="25"/>
      <c r="B713" s="25"/>
      <c r="C713" s="31"/>
      <c r="D713" s="29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24.75" customHeight="1">
      <c r="A714" s="25"/>
      <c r="B714" s="25"/>
      <c r="C714" s="31"/>
      <c r="D714" s="29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24.75" customHeight="1">
      <c r="A715" s="25"/>
      <c r="B715" s="25"/>
      <c r="C715" s="31"/>
      <c r="D715" s="29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24.75" customHeight="1">
      <c r="A716" s="25"/>
      <c r="B716" s="25"/>
      <c r="C716" s="31"/>
      <c r="D716" s="29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24.75" customHeight="1">
      <c r="A717" s="25"/>
      <c r="B717" s="25"/>
      <c r="C717" s="31"/>
      <c r="D717" s="29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24.75" customHeight="1">
      <c r="A718" s="25"/>
      <c r="B718" s="25"/>
      <c r="C718" s="31"/>
      <c r="D718" s="29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24.75" customHeight="1">
      <c r="A719" s="25"/>
      <c r="B719" s="25"/>
      <c r="C719" s="31"/>
      <c r="D719" s="29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24.75" customHeight="1">
      <c r="A720" s="25"/>
      <c r="B720" s="25"/>
      <c r="C720" s="31"/>
      <c r="D720" s="29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24.75" customHeight="1">
      <c r="A721" s="25"/>
      <c r="B721" s="25"/>
      <c r="C721" s="31"/>
      <c r="D721" s="29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24.75" customHeight="1">
      <c r="A722" s="25"/>
      <c r="B722" s="25"/>
      <c r="C722" s="31"/>
      <c r="D722" s="29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24.75" customHeight="1">
      <c r="A723" s="25"/>
      <c r="B723" s="25"/>
      <c r="C723" s="31"/>
      <c r="D723" s="29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24.75" customHeight="1">
      <c r="A724" s="25"/>
      <c r="B724" s="25"/>
      <c r="C724" s="31"/>
      <c r="D724" s="29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24.75" customHeight="1">
      <c r="A725" s="25"/>
      <c r="B725" s="25"/>
      <c r="C725" s="31"/>
      <c r="D725" s="29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24.75" customHeight="1">
      <c r="A726" s="25"/>
      <c r="B726" s="25"/>
      <c r="C726" s="31"/>
      <c r="D726" s="29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24.75" customHeight="1">
      <c r="A727" s="25"/>
      <c r="B727" s="25"/>
      <c r="C727" s="31"/>
      <c r="D727" s="29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24.75" customHeight="1">
      <c r="A728" s="25"/>
      <c r="B728" s="25"/>
      <c r="C728" s="31"/>
      <c r="D728" s="29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24.75" customHeight="1">
      <c r="A729" s="25"/>
      <c r="B729" s="25"/>
      <c r="C729" s="31"/>
      <c r="D729" s="29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24.75" customHeight="1">
      <c r="A730" s="25"/>
      <c r="B730" s="25"/>
      <c r="C730" s="31"/>
      <c r="D730" s="29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24.75" customHeight="1">
      <c r="A731" s="25"/>
      <c r="B731" s="25"/>
      <c r="C731" s="31"/>
      <c r="D731" s="29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24.75" customHeight="1">
      <c r="A732" s="25"/>
      <c r="B732" s="25"/>
      <c r="C732" s="31"/>
      <c r="D732" s="29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24.75" customHeight="1">
      <c r="A733" s="25"/>
      <c r="B733" s="25"/>
      <c r="C733" s="31"/>
      <c r="D733" s="29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24.75" customHeight="1">
      <c r="A734" s="25"/>
      <c r="B734" s="25"/>
      <c r="C734" s="31"/>
      <c r="D734" s="29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24.75" customHeight="1">
      <c r="A735" s="25"/>
      <c r="B735" s="25"/>
      <c r="C735" s="31"/>
      <c r="D735" s="29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24.75" customHeight="1">
      <c r="A736" s="25"/>
      <c r="B736" s="25"/>
      <c r="C736" s="31"/>
      <c r="D736" s="29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24.75" customHeight="1">
      <c r="A737" s="25"/>
      <c r="B737" s="25"/>
      <c r="C737" s="31"/>
      <c r="D737" s="29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24.75" customHeight="1">
      <c r="A738" s="25"/>
      <c r="B738" s="25"/>
      <c r="C738" s="31"/>
      <c r="D738" s="29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24.75" customHeight="1">
      <c r="A739" s="25"/>
      <c r="B739" s="25"/>
      <c r="C739" s="31"/>
      <c r="D739" s="29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24.75" customHeight="1">
      <c r="A740" s="25"/>
      <c r="B740" s="25"/>
      <c r="C740" s="31"/>
      <c r="D740" s="29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24.75" customHeight="1">
      <c r="A741" s="25"/>
      <c r="B741" s="25"/>
      <c r="C741" s="31"/>
      <c r="D741" s="29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24.75" customHeight="1">
      <c r="A742" s="25"/>
      <c r="B742" s="25"/>
      <c r="C742" s="31"/>
      <c r="D742" s="29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24.75" customHeight="1">
      <c r="A743" s="25"/>
      <c r="B743" s="25"/>
      <c r="C743" s="31"/>
      <c r="D743" s="29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24.75" customHeight="1">
      <c r="A744" s="25"/>
      <c r="B744" s="25"/>
      <c r="C744" s="31"/>
      <c r="D744" s="29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24.75" customHeight="1">
      <c r="A745" s="25"/>
      <c r="B745" s="25"/>
      <c r="C745" s="31"/>
      <c r="D745" s="29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24.75" customHeight="1">
      <c r="A746" s="25"/>
      <c r="B746" s="25"/>
      <c r="C746" s="31"/>
      <c r="D746" s="29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24.75" customHeight="1">
      <c r="A747" s="25"/>
      <c r="B747" s="25"/>
      <c r="C747" s="31"/>
      <c r="D747" s="29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24.75" customHeight="1">
      <c r="A748" s="25"/>
      <c r="B748" s="25"/>
      <c r="C748" s="31"/>
      <c r="D748" s="29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24.75" customHeight="1">
      <c r="A749" s="25"/>
      <c r="B749" s="25"/>
      <c r="C749" s="31"/>
      <c r="D749" s="29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24.75" customHeight="1">
      <c r="A750" s="25"/>
      <c r="B750" s="25"/>
      <c r="C750" s="31"/>
      <c r="D750" s="29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24.75" customHeight="1">
      <c r="A751" s="25"/>
      <c r="B751" s="25"/>
      <c r="C751" s="31"/>
      <c r="D751" s="29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24.75" customHeight="1">
      <c r="A752" s="25"/>
      <c r="B752" s="25"/>
      <c r="C752" s="31"/>
      <c r="D752" s="29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24.75" customHeight="1">
      <c r="A753" s="25"/>
      <c r="B753" s="25"/>
      <c r="C753" s="31"/>
      <c r="D753" s="29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24.75" customHeight="1">
      <c r="A754" s="25"/>
      <c r="B754" s="25"/>
      <c r="C754" s="31"/>
      <c r="D754" s="29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24.75" customHeight="1">
      <c r="A755" s="25"/>
      <c r="B755" s="25"/>
      <c r="C755" s="31"/>
      <c r="D755" s="29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24.75" customHeight="1">
      <c r="A756" s="25"/>
      <c r="B756" s="25"/>
      <c r="C756" s="31"/>
      <c r="D756" s="29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24.75" customHeight="1">
      <c r="A757" s="25"/>
      <c r="B757" s="25"/>
      <c r="C757" s="31"/>
      <c r="D757" s="29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24.75" customHeight="1">
      <c r="A758" s="25"/>
      <c r="B758" s="25"/>
      <c r="C758" s="31"/>
      <c r="D758" s="29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24.75" customHeight="1">
      <c r="A759" s="25"/>
      <c r="B759" s="25"/>
      <c r="C759" s="31"/>
      <c r="D759" s="29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24.75" customHeight="1">
      <c r="A760" s="25"/>
      <c r="B760" s="25"/>
      <c r="C760" s="31"/>
      <c r="D760" s="29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24.75" customHeight="1">
      <c r="A761" s="25"/>
      <c r="B761" s="25"/>
      <c r="C761" s="31"/>
      <c r="D761" s="29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24.75" customHeight="1">
      <c r="A762" s="25"/>
      <c r="B762" s="25"/>
      <c r="C762" s="31"/>
      <c r="D762" s="29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24.75" customHeight="1">
      <c r="A763" s="25"/>
      <c r="B763" s="25"/>
      <c r="C763" s="31"/>
      <c r="D763" s="29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24.75" customHeight="1">
      <c r="A764" s="25"/>
      <c r="B764" s="25"/>
      <c r="C764" s="31"/>
      <c r="D764" s="29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24.75" customHeight="1">
      <c r="A765" s="25"/>
      <c r="B765" s="25"/>
      <c r="C765" s="31"/>
      <c r="D765" s="29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24.75" customHeight="1">
      <c r="A766" s="25"/>
      <c r="B766" s="25"/>
      <c r="C766" s="31"/>
      <c r="D766" s="29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24.75" customHeight="1">
      <c r="A767" s="25"/>
      <c r="B767" s="25"/>
      <c r="C767" s="31"/>
      <c r="D767" s="29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24.75" customHeight="1">
      <c r="A768" s="25"/>
      <c r="B768" s="25"/>
      <c r="C768" s="31"/>
      <c r="D768" s="29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24.75" customHeight="1">
      <c r="A769" s="25"/>
      <c r="B769" s="25"/>
      <c r="C769" s="31"/>
      <c r="D769" s="29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24.75" customHeight="1">
      <c r="A770" s="25"/>
      <c r="B770" s="25"/>
      <c r="C770" s="31"/>
      <c r="D770" s="29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24.75" customHeight="1">
      <c r="A771" s="25"/>
      <c r="B771" s="25"/>
      <c r="C771" s="31"/>
      <c r="D771" s="29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24.75" customHeight="1">
      <c r="A772" s="25"/>
      <c r="B772" s="25"/>
      <c r="C772" s="31"/>
      <c r="D772" s="29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24.75" customHeight="1">
      <c r="A773" s="25"/>
      <c r="B773" s="25"/>
      <c r="C773" s="31"/>
      <c r="D773" s="29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24.75" customHeight="1">
      <c r="A774" s="25"/>
      <c r="B774" s="25"/>
      <c r="C774" s="31"/>
      <c r="D774" s="29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24.75" customHeight="1">
      <c r="A775" s="25"/>
      <c r="B775" s="25"/>
      <c r="C775" s="31"/>
      <c r="D775" s="29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24.75" customHeight="1">
      <c r="A776" s="25"/>
      <c r="B776" s="25"/>
      <c r="C776" s="31"/>
      <c r="D776" s="29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24.75" customHeight="1">
      <c r="A777" s="25"/>
      <c r="B777" s="25"/>
      <c r="C777" s="31"/>
      <c r="D777" s="29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24.75" customHeight="1">
      <c r="A778" s="25"/>
      <c r="B778" s="25"/>
      <c r="C778" s="31"/>
      <c r="D778" s="29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24.75" customHeight="1">
      <c r="A779" s="25"/>
      <c r="B779" s="25"/>
      <c r="C779" s="31"/>
      <c r="D779" s="29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24.75" customHeight="1">
      <c r="A780" s="25"/>
      <c r="B780" s="25"/>
      <c r="C780" s="31"/>
      <c r="D780" s="29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24.75" customHeight="1">
      <c r="A781" s="25"/>
      <c r="B781" s="25"/>
      <c r="C781" s="31"/>
      <c r="D781" s="29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24.75" customHeight="1">
      <c r="A782" s="25"/>
      <c r="B782" s="25"/>
      <c r="C782" s="31"/>
      <c r="D782" s="29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24.75" customHeight="1">
      <c r="A783" s="25"/>
      <c r="B783" s="25"/>
      <c r="C783" s="31"/>
      <c r="D783" s="29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24.75" customHeight="1">
      <c r="A784" s="25"/>
      <c r="B784" s="25"/>
      <c r="C784" s="31"/>
      <c r="D784" s="29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24.75" customHeight="1">
      <c r="A785" s="25"/>
      <c r="B785" s="25"/>
      <c r="C785" s="31"/>
      <c r="D785" s="29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24.75" customHeight="1">
      <c r="A786" s="25"/>
      <c r="B786" s="25"/>
      <c r="C786" s="31"/>
      <c r="D786" s="29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24.75" customHeight="1">
      <c r="A787" s="25"/>
      <c r="B787" s="25"/>
      <c r="C787" s="31"/>
      <c r="D787" s="29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24.75" customHeight="1">
      <c r="A788" s="25"/>
      <c r="B788" s="25"/>
      <c r="C788" s="31"/>
      <c r="D788" s="29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24.75" customHeight="1">
      <c r="A789" s="25"/>
      <c r="B789" s="25"/>
      <c r="C789" s="31"/>
      <c r="D789" s="29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24.75" customHeight="1">
      <c r="A790" s="25"/>
      <c r="B790" s="25"/>
      <c r="C790" s="31"/>
      <c r="D790" s="29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24.75" customHeight="1">
      <c r="A791" s="25"/>
      <c r="B791" s="25"/>
      <c r="C791" s="31"/>
      <c r="D791" s="29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24.75" customHeight="1">
      <c r="A792" s="25"/>
      <c r="B792" s="25"/>
      <c r="C792" s="31"/>
      <c r="D792" s="29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24.75" customHeight="1">
      <c r="A793" s="25"/>
      <c r="B793" s="25"/>
      <c r="C793" s="31"/>
      <c r="D793" s="29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24.75" customHeight="1">
      <c r="A794" s="25"/>
      <c r="B794" s="25"/>
      <c r="C794" s="31"/>
      <c r="D794" s="29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24.75" customHeight="1">
      <c r="A795" s="25"/>
      <c r="B795" s="25"/>
      <c r="C795" s="31"/>
      <c r="D795" s="29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24.75" customHeight="1">
      <c r="A796" s="25"/>
      <c r="B796" s="25"/>
      <c r="C796" s="31"/>
      <c r="D796" s="29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24.75" customHeight="1">
      <c r="A797" s="25"/>
      <c r="B797" s="25"/>
      <c r="C797" s="31"/>
      <c r="D797" s="29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24.75" customHeight="1">
      <c r="A798" s="25"/>
      <c r="B798" s="25"/>
      <c r="C798" s="31"/>
      <c r="D798" s="29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24.75" customHeight="1">
      <c r="A799" s="25"/>
      <c r="B799" s="25"/>
      <c r="C799" s="31"/>
      <c r="D799" s="29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24.75" customHeight="1">
      <c r="A800" s="25"/>
      <c r="B800" s="25"/>
      <c r="C800" s="31"/>
      <c r="D800" s="29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24.75" customHeight="1">
      <c r="A801" s="25"/>
      <c r="B801" s="25"/>
      <c r="C801" s="31"/>
      <c r="D801" s="29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24.75" customHeight="1">
      <c r="A802" s="25"/>
      <c r="B802" s="25"/>
      <c r="C802" s="31"/>
      <c r="D802" s="29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24.75" customHeight="1">
      <c r="A803" s="25"/>
      <c r="B803" s="25"/>
      <c r="C803" s="31"/>
      <c r="D803" s="29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24.75" customHeight="1">
      <c r="A804" s="25"/>
      <c r="B804" s="25"/>
      <c r="C804" s="31"/>
      <c r="D804" s="29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24.75" customHeight="1">
      <c r="A805" s="25"/>
      <c r="B805" s="25"/>
      <c r="C805" s="31"/>
      <c r="D805" s="29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24.75" customHeight="1">
      <c r="A806" s="25"/>
      <c r="B806" s="25"/>
      <c r="C806" s="31"/>
      <c r="D806" s="29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24.75" customHeight="1">
      <c r="A807" s="25"/>
      <c r="B807" s="25"/>
      <c r="C807" s="31"/>
      <c r="D807" s="29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24.75" customHeight="1">
      <c r="A808" s="25"/>
      <c r="B808" s="25"/>
      <c r="C808" s="31"/>
      <c r="D808" s="29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24.75" customHeight="1">
      <c r="A809" s="25"/>
      <c r="B809" s="25"/>
      <c r="C809" s="31"/>
      <c r="D809" s="29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24.75" customHeight="1">
      <c r="A810" s="25"/>
      <c r="B810" s="25"/>
      <c r="C810" s="31"/>
      <c r="D810" s="29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24.75" customHeight="1">
      <c r="A811" s="25"/>
      <c r="B811" s="25"/>
      <c r="C811" s="31"/>
      <c r="D811" s="29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24.75" customHeight="1">
      <c r="A812" s="25"/>
      <c r="B812" s="25"/>
      <c r="C812" s="31"/>
      <c r="D812" s="29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24.75" customHeight="1">
      <c r="A813" s="25"/>
      <c r="B813" s="25"/>
      <c r="C813" s="31"/>
      <c r="D813" s="29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24.75" customHeight="1">
      <c r="A814" s="25"/>
      <c r="B814" s="25"/>
      <c r="C814" s="31"/>
      <c r="D814" s="29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24.75" customHeight="1">
      <c r="A815" s="25"/>
      <c r="B815" s="25"/>
      <c r="C815" s="31"/>
      <c r="D815" s="29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24.75" customHeight="1">
      <c r="A816" s="25"/>
      <c r="B816" s="25"/>
      <c r="C816" s="31"/>
      <c r="D816" s="29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24.75" customHeight="1">
      <c r="A817" s="25"/>
      <c r="B817" s="25"/>
      <c r="C817" s="31"/>
      <c r="D817" s="29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24.75" customHeight="1">
      <c r="A818" s="25"/>
      <c r="B818" s="25"/>
      <c r="C818" s="31"/>
      <c r="D818" s="29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24.75" customHeight="1">
      <c r="A819" s="25"/>
      <c r="B819" s="25"/>
      <c r="C819" s="31"/>
      <c r="D819" s="29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24.75" customHeight="1">
      <c r="A820" s="25"/>
      <c r="B820" s="25"/>
      <c r="C820" s="31"/>
      <c r="D820" s="29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24.75" customHeight="1">
      <c r="A821" s="25"/>
      <c r="B821" s="25"/>
      <c r="C821" s="31"/>
      <c r="D821" s="29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24.75" customHeight="1">
      <c r="A822" s="25"/>
      <c r="B822" s="25"/>
      <c r="C822" s="31"/>
      <c r="D822" s="29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24.75" customHeight="1">
      <c r="A823" s="25"/>
      <c r="B823" s="25"/>
      <c r="C823" s="31"/>
      <c r="D823" s="29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24.75" customHeight="1">
      <c r="A824" s="25"/>
      <c r="B824" s="25"/>
      <c r="C824" s="31"/>
      <c r="D824" s="29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24.75" customHeight="1">
      <c r="A825" s="25"/>
      <c r="B825" s="25"/>
      <c r="C825" s="31"/>
      <c r="D825" s="29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24.75" customHeight="1">
      <c r="A826" s="25"/>
      <c r="B826" s="25"/>
      <c r="C826" s="31"/>
      <c r="D826" s="29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24.75" customHeight="1">
      <c r="A827" s="25"/>
      <c r="B827" s="25"/>
      <c r="C827" s="31"/>
      <c r="D827" s="29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24.75" customHeight="1">
      <c r="A828" s="25"/>
      <c r="B828" s="25"/>
      <c r="C828" s="31"/>
      <c r="D828" s="29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24.75" customHeight="1">
      <c r="A829" s="25"/>
      <c r="B829" s="25"/>
      <c r="C829" s="31"/>
      <c r="D829" s="29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24.75" customHeight="1">
      <c r="A830" s="25"/>
      <c r="B830" s="25"/>
      <c r="C830" s="31"/>
      <c r="D830" s="29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24.75" customHeight="1">
      <c r="A831" s="25"/>
      <c r="B831" s="25"/>
      <c r="C831" s="31"/>
      <c r="D831" s="29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24.75" customHeight="1">
      <c r="A832" s="25"/>
      <c r="B832" s="25"/>
      <c r="C832" s="31"/>
      <c r="D832" s="29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24.75" customHeight="1">
      <c r="A833" s="25"/>
      <c r="B833" s="25"/>
      <c r="C833" s="31"/>
      <c r="D833" s="29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24.75" customHeight="1">
      <c r="A834" s="25"/>
      <c r="B834" s="25"/>
      <c r="C834" s="31"/>
      <c r="D834" s="29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24.75" customHeight="1">
      <c r="A835" s="25"/>
      <c r="B835" s="25"/>
      <c r="C835" s="31"/>
      <c r="D835" s="29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24.75" customHeight="1">
      <c r="A836" s="25"/>
      <c r="B836" s="25"/>
      <c r="C836" s="31"/>
      <c r="D836" s="29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24.75" customHeight="1">
      <c r="A837" s="25"/>
      <c r="B837" s="25"/>
      <c r="C837" s="31"/>
      <c r="D837" s="29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24.75" customHeight="1">
      <c r="A838" s="25"/>
      <c r="B838" s="25"/>
      <c r="C838" s="31"/>
      <c r="D838" s="29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24.75" customHeight="1">
      <c r="A839" s="25"/>
      <c r="B839" s="25"/>
      <c r="C839" s="31"/>
      <c r="D839" s="29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24.75" customHeight="1">
      <c r="A840" s="25"/>
      <c r="B840" s="25"/>
      <c r="C840" s="31"/>
      <c r="D840" s="29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24.75" customHeight="1">
      <c r="A841" s="25"/>
      <c r="B841" s="25"/>
      <c r="C841" s="31"/>
      <c r="D841" s="29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24.75" customHeight="1">
      <c r="A842" s="25"/>
      <c r="B842" s="25"/>
      <c r="C842" s="31"/>
      <c r="D842" s="29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24.75" customHeight="1">
      <c r="A843" s="25"/>
      <c r="B843" s="25"/>
      <c r="C843" s="31"/>
      <c r="D843" s="29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24.75" customHeight="1">
      <c r="A844" s="25"/>
      <c r="B844" s="25"/>
      <c r="C844" s="31"/>
      <c r="D844" s="29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24.75" customHeight="1">
      <c r="A845" s="25"/>
      <c r="B845" s="25"/>
      <c r="C845" s="31"/>
      <c r="D845" s="29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24.75" customHeight="1">
      <c r="A846" s="25"/>
      <c r="B846" s="25"/>
      <c r="C846" s="31"/>
      <c r="D846" s="29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24.75" customHeight="1">
      <c r="A847" s="25"/>
      <c r="B847" s="25"/>
      <c r="C847" s="31"/>
      <c r="D847" s="29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24.75" customHeight="1">
      <c r="A848" s="25"/>
      <c r="B848" s="25"/>
      <c r="C848" s="31"/>
      <c r="D848" s="29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24.75" customHeight="1">
      <c r="A849" s="25"/>
      <c r="B849" s="25"/>
      <c r="C849" s="31"/>
      <c r="D849" s="29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24.75" customHeight="1">
      <c r="A850" s="25"/>
      <c r="B850" s="25"/>
      <c r="C850" s="31"/>
      <c r="D850" s="29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24.75" customHeight="1">
      <c r="A851" s="25"/>
      <c r="B851" s="25"/>
      <c r="C851" s="31"/>
      <c r="D851" s="29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24.75" customHeight="1">
      <c r="A852" s="25"/>
      <c r="B852" s="25"/>
      <c r="C852" s="31"/>
      <c r="D852" s="29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24.75" customHeight="1">
      <c r="A853" s="25"/>
      <c r="B853" s="25"/>
      <c r="C853" s="31"/>
      <c r="D853" s="29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24.75" customHeight="1">
      <c r="A854" s="25"/>
      <c r="B854" s="25"/>
      <c r="C854" s="31"/>
      <c r="D854" s="29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24.75" customHeight="1">
      <c r="A855" s="25"/>
      <c r="B855" s="25"/>
      <c r="C855" s="31"/>
      <c r="D855" s="29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24.75" customHeight="1">
      <c r="A856" s="25"/>
      <c r="B856" s="25"/>
      <c r="C856" s="31"/>
      <c r="D856" s="29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24.75" customHeight="1">
      <c r="A857" s="25"/>
      <c r="B857" s="25"/>
      <c r="C857" s="31"/>
      <c r="D857" s="29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24.75" customHeight="1">
      <c r="A858" s="25"/>
      <c r="B858" s="25"/>
      <c r="C858" s="31"/>
      <c r="D858" s="29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24.75" customHeight="1">
      <c r="A859" s="25"/>
      <c r="B859" s="25"/>
      <c r="C859" s="31"/>
      <c r="D859" s="29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24.75" customHeight="1">
      <c r="A860" s="25"/>
      <c r="B860" s="25"/>
      <c r="C860" s="31"/>
      <c r="D860" s="29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24.75" customHeight="1">
      <c r="A861" s="25"/>
      <c r="B861" s="25"/>
      <c r="C861" s="31"/>
      <c r="D861" s="29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24.75" customHeight="1">
      <c r="A862" s="25"/>
      <c r="B862" s="25"/>
      <c r="C862" s="31"/>
      <c r="D862" s="29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24.75" customHeight="1">
      <c r="A863" s="25"/>
      <c r="B863" s="25"/>
      <c r="C863" s="31"/>
      <c r="D863" s="29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24.75" customHeight="1">
      <c r="A864" s="25"/>
      <c r="B864" s="25"/>
      <c r="C864" s="31"/>
      <c r="D864" s="29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24.75" customHeight="1">
      <c r="A865" s="25"/>
      <c r="B865" s="25"/>
      <c r="C865" s="31"/>
      <c r="D865" s="29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24.75" customHeight="1">
      <c r="A866" s="25"/>
      <c r="B866" s="25"/>
      <c r="C866" s="31"/>
      <c r="D866" s="29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24.75" customHeight="1">
      <c r="A867" s="25"/>
      <c r="B867" s="25"/>
      <c r="C867" s="31"/>
      <c r="D867" s="29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24.75" customHeight="1">
      <c r="A868" s="25"/>
      <c r="B868" s="25"/>
      <c r="C868" s="31"/>
      <c r="D868" s="29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24.75" customHeight="1">
      <c r="A869" s="25"/>
      <c r="B869" s="25"/>
      <c r="C869" s="31"/>
      <c r="D869" s="29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24.75" customHeight="1">
      <c r="A870" s="25"/>
      <c r="B870" s="25"/>
      <c r="C870" s="31"/>
      <c r="D870" s="29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24.75" customHeight="1">
      <c r="A871" s="25"/>
      <c r="B871" s="25"/>
      <c r="C871" s="31"/>
      <c r="D871" s="29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24.75" customHeight="1">
      <c r="A872" s="25"/>
      <c r="B872" s="25"/>
      <c r="C872" s="31"/>
      <c r="D872" s="29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24.75" customHeight="1">
      <c r="A873" s="25"/>
      <c r="B873" s="25"/>
      <c r="C873" s="31"/>
      <c r="D873" s="29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24.75" customHeight="1">
      <c r="A874" s="25"/>
      <c r="B874" s="25"/>
      <c r="C874" s="31"/>
      <c r="D874" s="29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24.75" customHeight="1">
      <c r="A875" s="25"/>
      <c r="B875" s="25"/>
      <c r="C875" s="31"/>
      <c r="D875" s="29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24.75" customHeight="1">
      <c r="A876" s="25"/>
      <c r="B876" s="25"/>
      <c r="C876" s="31"/>
      <c r="D876" s="29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24.75" customHeight="1">
      <c r="A877" s="25"/>
      <c r="B877" s="25"/>
      <c r="C877" s="31"/>
      <c r="D877" s="29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24.75" customHeight="1">
      <c r="A878" s="25"/>
      <c r="B878" s="25"/>
      <c r="C878" s="31"/>
      <c r="D878" s="29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24.75" customHeight="1">
      <c r="A879" s="25"/>
      <c r="B879" s="25"/>
      <c r="C879" s="31"/>
      <c r="D879" s="29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24.75" customHeight="1">
      <c r="A880" s="25"/>
      <c r="B880" s="25"/>
      <c r="C880" s="31"/>
      <c r="D880" s="29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24.75" customHeight="1">
      <c r="A881" s="25"/>
      <c r="B881" s="25"/>
      <c r="C881" s="31"/>
      <c r="D881" s="29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24.75" customHeight="1">
      <c r="A882" s="25"/>
      <c r="B882" s="25"/>
      <c r="C882" s="31"/>
      <c r="D882" s="29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24.75" customHeight="1">
      <c r="A883" s="25"/>
      <c r="B883" s="25"/>
      <c r="C883" s="31"/>
      <c r="D883" s="29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24.75" customHeight="1">
      <c r="A884" s="25"/>
      <c r="B884" s="25"/>
      <c r="C884" s="31"/>
      <c r="D884" s="29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24.75" customHeight="1">
      <c r="A885" s="25"/>
      <c r="B885" s="25"/>
      <c r="C885" s="31"/>
      <c r="D885" s="29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24.75" customHeight="1">
      <c r="A886" s="25"/>
      <c r="B886" s="25"/>
      <c r="C886" s="31"/>
      <c r="D886" s="29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24.75" customHeight="1">
      <c r="A887" s="25"/>
      <c r="B887" s="25"/>
      <c r="C887" s="31"/>
      <c r="D887" s="29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24.75" customHeight="1">
      <c r="A888" s="25"/>
      <c r="B888" s="25"/>
      <c r="C888" s="31"/>
      <c r="D888" s="29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24.75" customHeight="1">
      <c r="A889" s="25"/>
      <c r="B889" s="25"/>
      <c r="C889" s="31"/>
      <c r="D889" s="29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24.75" customHeight="1">
      <c r="A890" s="25"/>
      <c r="B890" s="25"/>
      <c r="C890" s="31"/>
      <c r="D890" s="29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24.75" customHeight="1">
      <c r="A891" s="25"/>
      <c r="B891" s="25"/>
      <c r="C891" s="31"/>
      <c r="D891" s="29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24.75" customHeight="1">
      <c r="A892" s="25"/>
      <c r="B892" s="25"/>
      <c r="C892" s="31"/>
      <c r="D892" s="29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24.75" customHeight="1">
      <c r="A893" s="25"/>
      <c r="B893" s="25"/>
      <c r="C893" s="31"/>
      <c r="D893" s="29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24.75" customHeight="1">
      <c r="A894" s="25"/>
      <c r="B894" s="25"/>
      <c r="C894" s="31"/>
      <c r="D894" s="29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24.75" customHeight="1">
      <c r="A895" s="25"/>
      <c r="B895" s="25"/>
      <c r="C895" s="31"/>
      <c r="D895" s="29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24.75" customHeight="1">
      <c r="A896" s="25"/>
      <c r="B896" s="25"/>
      <c r="C896" s="31"/>
      <c r="D896" s="29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24.75" customHeight="1">
      <c r="A897" s="25"/>
      <c r="B897" s="25"/>
      <c r="C897" s="31"/>
      <c r="D897" s="29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24.75" customHeight="1">
      <c r="A898" s="25"/>
      <c r="B898" s="25"/>
      <c r="C898" s="31"/>
      <c r="D898" s="29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24.75" customHeight="1">
      <c r="A899" s="25"/>
      <c r="B899" s="25"/>
      <c r="C899" s="31"/>
      <c r="D899" s="29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24.75" customHeight="1">
      <c r="A900" s="25"/>
      <c r="B900" s="25"/>
      <c r="C900" s="31"/>
      <c r="D900" s="29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24.75" customHeight="1">
      <c r="A901" s="25"/>
      <c r="B901" s="25"/>
      <c r="C901" s="31"/>
      <c r="D901" s="29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24.75" customHeight="1">
      <c r="A902" s="25"/>
      <c r="B902" s="25"/>
      <c r="C902" s="31"/>
      <c r="D902" s="29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24.75" customHeight="1">
      <c r="A903" s="25"/>
      <c r="B903" s="25"/>
      <c r="C903" s="31"/>
      <c r="D903" s="29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24.75" customHeight="1">
      <c r="A904" s="25"/>
      <c r="B904" s="25"/>
      <c r="C904" s="31"/>
      <c r="D904" s="29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24.75" customHeight="1">
      <c r="A905" s="25"/>
      <c r="B905" s="25"/>
      <c r="C905" s="31"/>
      <c r="D905" s="29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24.75" customHeight="1">
      <c r="A906" s="25"/>
      <c r="B906" s="25"/>
      <c r="C906" s="31"/>
      <c r="D906" s="29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24.75" customHeight="1">
      <c r="A907" s="25"/>
      <c r="B907" s="25"/>
      <c r="C907" s="31"/>
      <c r="D907" s="29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24.75" customHeight="1">
      <c r="A908" s="25"/>
      <c r="B908" s="25"/>
      <c r="C908" s="31"/>
      <c r="D908" s="29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24.75" customHeight="1">
      <c r="A909" s="25"/>
      <c r="B909" s="25"/>
      <c r="C909" s="31"/>
      <c r="D909" s="29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24.75" customHeight="1">
      <c r="A910" s="25"/>
      <c r="B910" s="25"/>
      <c r="C910" s="31"/>
      <c r="D910" s="29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24.75" customHeight="1">
      <c r="A911" s="25"/>
      <c r="B911" s="25"/>
      <c r="C911" s="31"/>
      <c r="D911" s="29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24.75" customHeight="1">
      <c r="A912" s="25"/>
      <c r="B912" s="25"/>
      <c r="C912" s="31"/>
      <c r="D912" s="29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24.75" customHeight="1">
      <c r="A913" s="25"/>
      <c r="B913" s="25"/>
      <c r="C913" s="31"/>
      <c r="D913" s="29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24.75" customHeight="1">
      <c r="A914" s="25"/>
      <c r="B914" s="25"/>
      <c r="C914" s="31"/>
      <c r="D914" s="29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24.75" customHeight="1">
      <c r="A915" s="25"/>
      <c r="B915" s="25"/>
      <c r="C915" s="31"/>
      <c r="D915" s="29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24.75" customHeight="1">
      <c r="A916" s="25"/>
      <c r="B916" s="25"/>
      <c r="C916" s="31"/>
      <c r="D916" s="29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24.75" customHeight="1">
      <c r="A917" s="25"/>
      <c r="B917" s="25"/>
      <c r="C917" s="31"/>
      <c r="D917" s="29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24.75" customHeight="1">
      <c r="A918" s="25"/>
      <c r="B918" s="25"/>
      <c r="C918" s="31"/>
      <c r="D918" s="29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24.75" customHeight="1">
      <c r="A919" s="25"/>
      <c r="B919" s="25"/>
      <c r="C919" s="31"/>
      <c r="D919" s="29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24.75" customHeight="1">
      <c r="A920" s="25"/>
      <c r="B920" s="25"/>
      <c r="C920" s="31"/>
      <c r="D920" s="29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24.75" customHeight="1">
      <c r="A921" s="25"/>
      <c r="B921" s="25"/>
      <c r="C921" s="31"/>
      <c r="D921" s="29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24.75" customHeight="1">
      <c r="A922" s="25"/>
      <c r="B922" s="25"/>
      <c r="C922" s="31"/>
      <c r="D922" s="29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24.75" customHeight="1">
      <c r="A923" s="25"/>
      <c r="B923" s="25"/>
      <c r="C923" s="31"/>
      <c r="D923" s="29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24.75" customHeight="1">
      <c r="A924" s="25"/>
      <c r="B924" s="25"/>
      <c r="C924" s="31"/>
      <c r="D924" s="29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24.75" customHeight="1">
      <c r="A925" s="25"/>
      <c r="B925" s="25"/>
      <c r="C925" s="31"/>
      <c r="D925" s="29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24.75" customHeight="1">
      <c r="A926" s="25"/>
      <c r="B926" s="25"/>
      <c r="C926" s="31"/>
      <c r="D926" s="29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24.75" customHeight="1">
      <c r="A927" s="25"/>
      <c r="B927" s="25"/>
      <c r="C927" s="31"/>
      <c r="D927" s="29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24.75" customHeight="1">
      <c r="A928" s="25"/>
      <c r="B928" s="25"/>
      <c r="C928" s="31"/>
      <c r="D928" s="29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24.75" customHeight="1">
      <c r="A929" s="25"/>
      <c r="B929" s="25"/>
      <c r="C929" s="31"/>
      <c r="D929" s="29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24.75" customHeight="1">
      <c r="A930" s="25"/>
      <c r="B930" s="25"/>
      <c r="C930" s="31"/>
      <c r="D930" s="29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24.75" customHeight="1">
      <c r="A931" s="25"/>
      <c r="B931" s="25"/>
      <c r="C931" s="31"/>
      <c r="D931" s="29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24.75" customHeight="1">
      <c r="A932" s="25"/>
      <c r="B932" s="25"/>
      <c r="C932" s="31"/>
      <c r="D932" s="29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24.75" customHeight="1">
      <c r="A933" s="25"/>
      <c r="B933" s="25"/>
      <c r="C933" s="31"/>
      <c r="D933" s="29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24.75" customHeight="1">
      <c r="A934" s="25"/>
      <c r="B934" s="25"/>
      <c r="C934" s="31"/>
      <c r="D934" s="29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24.75" customHeight="1">
      <c r="A935" s="25"/>
      <c r="B935" s="25"/>
      <c r="C935" s="31"/>
      <c r="D935" s="29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24.75" customHeight="1">
      <c r="A936" s="25"/>
      <c r="B936" s="25"/>
      <c r="C936" s="31"/>
      <c r="D936" s="29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24.75" customHeight="1">
      <c r="A937" s="25"/>
      <c r="B937" s="25"/>
      <c r="C937" s="31"/>
      <c r="D937" s="29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24.75" customHeight="1">
      <c r="A938" s="25"/>
      <c r="B938" s="25"/>
      <c r="C938" s="31"/>
      <c r="D938" s="29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24.75" customHeight="1">
      <c r="A939" s="25"/>
      <c r="B939" s="25"/>
      <c r="C939" s="31"/>
      <c r="D939" s="29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24.75" customHeight="1">
      <c r="A940" s="25"/>
      <c r="B940" s="25"/>
      <c r="C940" s="31"/>
      <c r="D940" s="29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24.75" customHeight="1">
      <c r="A941" s="25"/>
      <c r="B941" s="25"/>
      <c r="C941" s="31"/>
      <c r="D941" s="29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24.75" customHeight="1">
      <c r="A942" s="25"/>
      <c r="B942" s="25"/>
      <c r="C942" s="31"/>
      <c r="D942" s="29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24.75" customHeight="1">
      <c r="A943" s="25"/>
      <c r="B943" s="25"/>
      <c r="C943" s="31"/>
      <c r="D943" s="29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24.75" customHeight="1">
      <c r="A944" s="25"/>
      <c r="B944" s="25"/>
      <c r="C944" s="31"/>
      <c r="D944" s="29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24.75" customHeight="1">
      <c r="A945" s="25"/>
      <c r="B945" s="25"/>
      <c r="C945" s="31"/>
      <c r="D945" s="29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24.75" customHeight="1">
      <c r="A946" s="25"/>
      <c r="B946" s="25"/>
      <c r="C946" s="31"/>
      <c r="D946" s="29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24.75" customHeight="1">
      <c r="A947" s="25"/>
      <c r="B947" s="25"/>
      <c r="C947" s="31"/>
      <c r="D947" s="29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24.75" customHeight="1">
      <c r="A948" s="25"/>
      <c r="B948" s="25"/>
      <c r="C948" s="31"/>
      <c r="D948" s="29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24.75" customHeight="1">
      <c r="A949" s="25"/>
      <c r="B949" s="25"/>
      <c r="C949" s="31"/>
      <c r="D949" s="29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24.75" customHeight="1">
      <c r="A950" s="25"/>
      <c r="B950" s="25"/>
      <c r="C950" s="31"/>
      <c r="D950" s="29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24.75" customHeight="1">
      <c r="A951" s="25"/>
      <c r="B951" s="25"/>
      <c r="C951" s="31"/>
      <c r="D951" s="29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24.75" customHeight="1">
      <c r="A952" s="25"/>
      <c r="B952" s="25"/>
      <c r="C952" s="31"/>
      <c r="D952" s="29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24.75" customHeight="1">
      <c r="A953" s="25"/>
      <c r="B953" s="25"/>
      <c r="C953" s="31"/>
      <c r="D953" s="29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24.75" customHeight="1">
      <c r="A954" s="25"/>
      <c r="B954" s="25"/>
      <c r="C954" s="31"/>
      <c r="D954" s="29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24.75" customHeight="1">
      <c r="A955" s="25"/>
      <c r="B955" s="25"/>
      <c r="C955" s="31"/>
      <c r="D955" s="29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24.75" customHeight="1">
      <c r="A956" s="25"/>
      <c r="B956" s="25"/>
      <c r="C956" s="31"/>
      <c r="D956" s="29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24.75" customHeight="1">
      <c r="A957" s="25"/>
      <c r="B957" s="25"/>
      <c r="C957" s="31"/>
      <c r="D957" s="29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24.75" customHeight="1">
      <c r="A958" s="25"/>
      <c r="B958" s="25"/>
      <c r="C958" s="31"/>
      <c r="D958" s="29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24.75" customHeight="1">
      <c r="A959" s="25"/>
      <c r="B959" s="25"/>
      <c r="C959" s="31"/>
      <c r="D959" s="29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24.75" customHeight="1">
      <c r="A960" s="25"/>
      <c r="B960" s="25"/>
      <c r="C960" s="31"/>
      <c r="D960" s="29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24.75" customHeight="1">
      <c r="A961" s="25"/>
      <c r="B961" s="25"/>
      <c r="C961" s="31"/>
      <c r="D961" s="29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24.75" customHeight="1">
      <c r="A962" s="25"/>
      <c r="B962" s="25"/>
      <c r="C962" s="31"/>
      <c r="D962" s="29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24.75" customHeight="1">
      <c r="A963" s="25"/>
      <c r="B963" s="25"/>
      <c r="C963" s="31"/>
      <c r="D963" s="29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24.75" customHeight="1">
      <c r="A964" s="25"/>
      <c r="B964" s="25"/>
      <c r="C964" s="31"/>
      <c r="D964" s="29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24.75" customHeight="1">
      <c r="A965" s="25"/>
      <c r="B965" s="25"/>
      <c r="C965" s="31"/>
      <c r="D965" s="29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24.75" customHeight="1">
      <c r="A966" s="25"/>
      <c r="B966" s="25"/>
      <c r="C966" s="31"/>
      <c r="D966" s="29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24.75" customHeight="1">
      <c r="A967" s="25"/>
      <c r="B967" s="25"/>
      <c r="C967" s="31"/>
      <c r="D967" s="29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24.75" customHeight="1">
      <c r="A968" s="25"/>
      <c r="B968" s="25"/>
      <c r="C968" s="31"/>
      <c r="D968" s="29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24.75" customHeight="1">
      <c r="A969" s="25"/>
      <c r="B969" s="25"/>
      <c r="C969" s="31"/>
      <c r="D969" s="29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24.75" customHeight="1">
      <c r="A970" s="25"/>
      <c r="B970" s="25"/>
      <c r="C970" s="31"/>
      <c r="D970" s="29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24.75" customHeight="1">
      <c r="A971" s="25"/>
      <c r="B971" s="25"/>
      <c r="C971" s="31"/>
      <c r="D971" s="29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24.75" customHeight="1">
      <c r="A972" s="25"/>
      <c r="B972" s="25"/>
      <c r="C972" s="31"/>
      <c r="D972" s="29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24.75" customHeight="1">
      <c r="A973" s="25"/>
      <c r="B973" s="25"/>
      <c r="C973" s="31"/>
      <c r="D973" s="29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24.75" customHeight="1">
      <c r="A974" s="25"/>
      <c r="B974" s="25"/>
      <c r="C974" s="31"/>
      <c r="D974" s="29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24.75" customHeight="1">
      <c r="A975" s="25"/>
      <c r="B975" s="25"/>
      <c r="C975" s="31"/>
      <c r="D975" s="29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24.75" customHeight="1">
      <c r="A976" s="25"/>
      <c r="B976" s="25"/>
      <c r="C976" s="31"/>
      <c r="D976" s="29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24.75" customHeight="1">
      <c r="A977" s="25"/>
      <c r="B977" s="25"/>
      <c r="C977" s="31"/>
      <c r="D977" s="29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24.75" customHeight="1">
      <c r="A978" s="25"/>
      <c r="B978" s="25"/>
      <c r="C978" s="31"/>
      <c r="D978" s="29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24.75" customHeight="1">
      <c r="A979" s="25"/>
      <c r="B979" s="25"/>
      <c r="C979" s="31"/>
      <c r="D979" s="29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24.75" customHeight="1">
      <c r="A980" s="25"/>
      <c r="B980" s="25"/>
      <c r="C980" s="31"/>
      <c r="D980" s="29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24.75" customHeight="1">
      <c r="A981" s="25"/>
      <c r="B981" s="25"/>
      <c r="C981" s="31"/>
      <c r="D981" s="29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24.75" customHeight="1">
      <c r="A982" s="25"/>
      <c r="B982" s="25"/>
      <c r="C982" s="31"/>
      <c r="D982" s="29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24.75" customHeight="1">
      <c r="A983" s="25"/>
      <c r="B983" s="25"/>
      <c r="C983" s="31"/>
      <c r="D983" s="29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24.75" customHeight="1">
      <c r="A984" s="25"/>
      <c r="B984" s="25"/>
      <c r="C984" s="31"/>
      <c r="D984" s="29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24.75" customHeight="1">
      <c r="A985" s="25"/>
      <c r="B985" s="25"/>
      <c r="C985" s="31"/>
      <c r="D985" s="29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24.75" customHeight="1">
      <c r="A986" s="25"/>
      <c r="B986" s="25"/>
      <c r="C986" s="31"/>
      <c r="D986" s="29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24.75" customHeight="1">
      <c r="A987" s="25"/>
      <c r="B987" s="25"/>
      <c r="C987" s="31"/>
      <c r="D987" s="29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24.75" customHeight="1">
      <c r="A988" s="25"/>
      <c r="B988" s="25"/>
      <c r="C988" s="31"/>
      <c r="D988" s="29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24.75" customHeight="1">
      <c r="A989" s="25"/>
      <c r="B989" s="25"/>
      <c r="C989" s="31"/>
      <c r="D989" s="29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24.75" customHeight="1">
      <c r="A990" s="25"/>
      <c r="B990" s="25"/>
      <c r="C990" s="31"/>
      <c r="D990" s="29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24.75" customHeight="1">
      <c r="A991" s="25"/>
      <c r="B991" s="25"/>
      <c r="C991" s="31"/>
      <c r="D991" s="29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24.75" customHeight="1">
      <c r="A992" s="25"/>
      <c r="B992" s="25"/>
      <c r="C992" s="31"/>
      <c r="D992" s="29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24.75" customHeight="1">
      <c r="A993" s="25"/>
      <c r="B993" s="25"/>
      <c r="C993" s="31"/>
      <c r="D993" s="29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24.75" customHeight="1">
      <c r="A994" s="25"/>
      <c r="B994" s="25"/>
      <c r="C994" s="31"/>
      <c r="D994" s="29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24.75" customHeight="1">
      <c r="A995" s="25"/>
      <c r="B995" s="25"/>
      <c r="C995" s="31"/>
      <c r="D995" s="29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24.75" customHeight="1">
      <c r="A996" s="25"/>
      <c r="B996" s="25"/>
      <c r="C996" s="31"/>
      <c r="D996" s="29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24.75" customHeight="1">
      <c r="A997" s="25"/>
      <c r="B997" s="25"/>
      <c r="C997" s="31"/>
      <c r="D997" s="29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24.75" customHeight="1">
      <c r="A998" s="25"/>
      <c r="B998" s="25"/>
      <c r="C998" s="31"/>
      <c r="D998" s="29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24.75" customHeight="1">
      <c r="A999" s="25"/>
      <c r="B999" s="25"/>
      <c r="C999" s="31"/>
      <c r="D999" s="29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24.75" customHeight="1">
      <c r="A1000" s="25"/>
      <c r="B1000" s="25"/>
      <c r="C1000" s="31"/>
      <c r="D1000" s="29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24.75" customHeight="1">
      <c r="A1001" s="25"/>
      <c r="B1001" s="25"/>
      <c r="C1001" s="31"/>
      <c r="D1001" s="29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ht="24.75" customHeight="1">
      <c r="A1002" s="25"/>
      <c r="B1002" s="25"/>
      <c r="C1002" s="31"/>
      <c r="D1002" s="29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ht="24.75" customHeight="1">
      <c r="A1003" s="25"/>
      <c r="B1003" s="25"/>
      <c r="C1003" s="31"/>
      <c r="D1003" s="29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24.75" customHeight="1">
      <c r="A1004" s="25"/>
      <c r="B1004" s="25"/>
      <c r="C1004" s="31"/>
      <c r="D1004" s="29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24.75" customHeight="1">
      <c r="A1005" s="25"/>
      <c r="B1005" s="25"/>
      <c r="C1005" s="31"/>
      <c r="D1005" s="29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24.75" customHeight="1">
      <c r="A1006" s="25"/>
      <c r="B1006" s="25"/>
      <c r="C1006" s="31"/>
      <c r="D1006" s="29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24.75" customHeight="1">
      <c r="A1007" s="25"/>
      <c r="B1007" s="25"/>
      <c r="C1007" s="31"/>
      <c r="D1007" s="29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24.75" customHeight="1">
      <c r="A1008" s="25"/>
      <c r="B1008" s="25"/>
      <c r="C1008" s="31"/>
      <c r="D1008" s="29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spans="1:26" ht="24.75" customHeight="1">
      <c r="A1009" s="25"/>
      <c r="B1009" s="25"/>
      <c r="C1009" s="31"/>
      <c r="D1009" s="29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spans="1:26" ht="24.75" customHeight="1">
      <c r="A1010" s="25"/>
      <c r="B1010" s="25"/>
      <c r="C1010" s="31"/>
      <c r="D1010" s="29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spans="1:26" ht="24.75" customHeight="1">
      <c r="A1011" s="25"/>
      <c r="B1011" s="25"/>
      <c r="C1011" s="31"/>
      <c r="D1011" s="29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</sheetData>
  <phoneticPr fontId="20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1" width="5.28515625" customWidth="1"/>
    <col min="2" max="2" width="14" customWidth="1"/>
    <col min="3" max="3" width="14.42578125" customWidth="1"/>
    <col min="4" max="4" width="29.28515625" customWidth="1"/>
    <col min="5" max="26" width="8.7109375" customWidth="1"/>
  </cols>
  <sheetData>
    <row r="1" spans="1:4" ht="16.5" customHeight="1">
      <c r="A1" s="38" t="s">
        <v>126</v>
      </c>
      <c r="B1" s="38" t="s">
        <v>113</v>
      </c>
      <c r="C1" s="38" t="s">
        <v>58</v>
      </c>
      <c r="D1" s="38" t="s">
        <v>157</v>
      </c>
    </row>
    <row r="2" spans="1:4" ht="16.5" customHeight="1">
      <c r="A2" s="38">
        <f t="shared" ref="A2:A21" si="0">ROW()-1</f>
        <v>1</v>
      </c>
      <c r="B2" s="38" t="s">
        <v>158</v>
      </c>
      <c r="C2" s="38" t="s">
        <v>159</v>
      </c>
      <c r="D2" s="39" t="s">
        <v>160</v>
      </c>
    </row>
    <row r="3" spans="1:4" ht="16.5" customHeight="1">
      <c r="A3" s="38">
        <f t="shared" si="0"/>
        <v>2</v>
      </c>
      <c r="B3" s="38" t="s">
        <v>161</v>
      </c>
      <c r="C3" s="38" t="s">
        <v>162</v>
      </c>
      <c r="D3" s="39" t="s">
        <v>163</v>
      </c>
    </row>
    <row r="4" spans="1:4" ht="16.5" customHeight="1">
      <c r="A4" s="38">
        <f t="shared" si="0"/>
        <v>3</v>
      </c>
      <c r="B4" s="38" t="s">
        <v>164</v>
      </c>
      <c r="C4" s="38" t="s">
        <v>165</v>
      </c>
      <c r="D4" s="39" t="s">
        <v>166</v>
      </c>
    </row>
    <row r="5" spans="1:4" ht="16.5" customHeight="1">
      <c r="A5" s="38">
        <f t="shared" si="0"/>
        <v>4</v>
      </c>
      <c r="B5" s="38" t="s">
        <v>167</v>
      </c>
      <c r="C5" s="38" t="s">
        <v>168</v>
      </c>
      <c r="D5" s="39" t="s">
        <v>169</v>
      </c>
    </row>
    <row r="6" spans="1:4" ht="16.5" customHeight="1">
      <c r="A6" s="38">
        <f t="shared" si="0"/>
        <v>5</v>
      </c>
      <c r="B6" s="38" t="s">
        <v>170</v>
      </c>
      <c r="C6" s="38" t="s">
        <v>171</v>
      </c>
      <c r="D6" s="39" t="s">
        <v>172</v>
      </c>
    </row>
    <row r="7" spans="1:4" ht="16.5" customHeight="1">
      <c r="A7" s="38">
        <f t="shared" si="0"/>
        <v>6</v>
      </c>
      <c r="B7" s="38" t="s">
        <v>173</v>
      </c>
      <c r="C7" s="38" t="s">
        <v>174</v>
      </c>
      <c r="D7" s="38" t="s">
        <v>175</v>
      </c>
    </row>
    <row r="8" spans="1:4" ht="16.5" customHeight="1">
      <c r="A8" s="38">
        <f t="shared" si="0"/>
        <v>7</v>
      </c>
      <c r="B8" s="38" t="s">
        <v>176</v>
      </c>
      <c r="C8" s="38" t="s">
        <v>177</v>
      </c>
      <c r="D8" s="38" t="s">
        <v>178</v>
      </c>
    </row>
    <row r="9" spans="1:4" ht="16.5" customHeight="1">
      <c r="A9" s="38">
        <f t="shared" si="0"/>
        <v>8</v>
      </c>
      <c r="B9" s="7" t="s">
        <v>9</v>
      </c>
      <c r="C9" s="7" t="s">
        <v>179</v>
      </c>
      <c r="D9" s="40" t="s">
        <v>180</v>
      </c>
    </row>
    <row r="10" spans="1:4" ht="16.5" customHeight="1">
      <c r="A10" s="38">
        <f t="shared" si="0"/>
        <v>9</v>
      </c>
    </row>
    <row r="11" spans="1:4" ht="16.5" customHeight="1">
      <c r="A11" s="38">
        <f t="shared" si="0"/>
        <v>10</v>
      </c>
    </row>
    <row r="12" spans="1:4" ht="16.5" customHeight="1">
      <c r="A12" s="38">
        <f t="shared" si="0"/>
        <v>11</v>
      </c>
    </row>
    <row r="13" spans="1:4" ht="16.5" customHeight="1">
      <c r="A13" s="38">
        <f t="shared" si="0"/>
        <v>12</v>
      </c>
    </row>
    <row r="14" spans="1:4" ht="16.5" customHeight="1">
      <c r="A14" s="38">
        <f t="shared" si="0"/>
        <v>13</v>
      </c>
    </row>
    <row r="15" spans="1:4" ht="16.5" customHeight="1">
      <c r="A15" s="38">
        <f t="shared" si="0"/>
        <v>14</v>
      </c>
    </row>
    <row r="16" spans="1:4" ht="16.5" customHeight="1">
      <c r="A16" s="38">
        <f t="shared" si="0"/>
        <v>15</v>
      </c>
    </row>
    <row r="17" spans="1:1" ht="16.5" customHeight="1">
      <c r="A17" s="38">
        <f t="shared" si="0"/>
        <v>16</v>
      </c>
    </row>
    <row r="18" spans="1:1" ht="16.5" customHeight="1">
      <c r="A18" s="38">
        <f t="shared" si="0"/>
        <v>17</v>
      </c>
    </row>
    <row r="19" spans="1:1" ht="16.5" customHeight="1">
      <c r="A19" s="38">
        <f t="shared" si="0"/>
        <v>18</v>
      </c>
    </row>
    <row r="20" spans="1:1" ht="16.5" customHeight="1">
      <c r="A20" s="38">
        <f t="shared" si="0"/>
        <v>19</v>
      </c>
    </row>
    <row r="21" spans="1:1" ht="16.5" customHeight="1">
      <c r="A21" s="38">
        <f t="shared" si="0"/>
        <v>20</v>
      </c>
    </row>
    <row r="22" spans="1:1" ht="16.5" customHeight="1"/>
    <row r="23" spans="1:1" ht="16.5" customHeight="1"/>
    <row r="24" spans="1:1" ht="16.5" customHeight="1"/>
    <row r="25" spans="1:1" ht="16.5" customHeight="1"/>
    <row r="26" spans="1:1" ht="16.5" customHeight="1"/>
    <row r="27" spans="1:1" ht="16.5" customHeight="1"/>
    <row r="28" spans="1:1" ht="16.5" customHeight="1"/>
    <row r="29" spans="1:1" ht="16.5" customHeight="1"/>
    <row r="30" spans="1:1" ht="16.5" customHeight="1"/>
    <row r="31" spans="1:1" ht="16.5" customHeight="1"/>
    <row r="32" spans="1: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0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1" width="8.7109375" customWidth="1"/>
    <col min="2" max="2" width="16.42578125" customWidth="1"/>
    <col min="3" max="3" width="14.42578125" customWidth="1"/>
    <col min="4" max="4" width="86.42578125" customWidth="1"/>
    <col min="5" max="26" width="8.7109375" customWidth="1"/>
  </cols>
  <sheetData>
    <row r="1" spans="1:4" ht="16.5" customHeight="1">
      <c r="A1" s="38" t="s">
        <v>126</v>
      </c>
      <c r="B1" s="38" t="s">
        <v>181</v>
      </c>
      <c r="C1" s="38" t="s">
        <v>58</v>
      </c>
      <c r="D1" s="38" t="s">
        <v>182</v>
      </c>
    </row>
    <row r="2" spans="1:4" ht="16.5" customHeight="1">
      <c r="A2" s="38">
        <v>1</v>
      </c>
      <c r="B2" s="38" t="s">
        <v>183</v>
      </c>
      <c r="C2" s="38" t="s">
        <v>184</v>
      </c>
      <c r="D2" s="30" t="s">
        <v>185</v>
      </c>
    </row>
    <row r="3" spans="1:4" ht="16.5" customHeight="1">
      <c r="A3" s="38">
        <v>2</v>
      </c>
      <c r="B3" s="38" t="s">
        <v>186</v>
      </c>
      <c r="C3" s="38" t="s">
        <v>187</v>
      </c>
      <c r="D3" s="30" t="s">
        <v>188</v>
      </c>
    </row>
    <row r="4" spans="1:4" ht="16.5" customHeight="1">
      <c r="A4" s="38">
        <v>3</v>
      </c>
      <c r="B4" s="38" t="s">
        <v>189</v>
      </c>
      <c r="C4" s="38" t="s">
        <v>190</v>
      </c>
      <c r="D4" s="30" t="s">
        <v>191</v>
      </c>
    </row>
    <row r="5" spans="1:4" ht="16.5" customHeight="1">
      <c r="A5" s="38">
        <v>4</v>
      </c>
      <c r="B5" s="38" t="s">
        <v>192</v>
      </c>
      <c r="C5" s="38" t="s">
        <v>190</v>
      </c>
      <c r="D5" s="30" t="s">
        <v>193</v>
      </c>
    </row>
    <row r="6" spans="1:4" ht="16.5" customHeight="1">
      <c r="A6" s="38">
        <v>5</v>
      </c>
      <c r="B6" s="38" t="s">
        <v>194</v>
      </c>
      <c r="C6" s="38" t="s">
        <v>165</v>
      </c>
      <c r="D6" s="30" t="s">
        <v>195</v>
      </c>
    </row>
    <row r="7" spans="1:4" ht="16.5" customHeight="1">
      <c r="A7" s="38">
        <v>6</v>
      </c>
      <c r="B7" s="38" t="s">
        <v>196</v>
      </c>
      <c r="C7" s="38" t="s">
        <v>197</v>
      </c>
      <c r="D7" s="33" t="s">
        <v>198</v>
      </c>
    </row>
    <row r="8" spans="1:4" ht="16.5" customHeight="1">
      <c r="A8" s="38">
        <v>7</v>
      </c>
      <c r="B8" s="38" t="s">
        <v>199</v>
      </c>
      <c r="C8" s="38" t="s">
        <v>200</v>
      </c>
      <c r="D8" s="30" t="s">
        <v>201</v>
      </c>
    </row>
    <row r="9" spans="1:4" ht="16.5" customHeight="1">
      <c r="A9" s="38">
        <v>8</v>
      </c>
      <c r="B9" s="7" t="s">
        <v>202</v>
      </c>
      <c r="C9" s="7" t="s">
        <v>179</v>
      </c>
      <c r="D9" s="7" t="s">
        <v>63</v>
      </c>
    </row>
    <row r="10" spans="1:4" ht="16.5" customHeight="1">
      <c r="A10" s="38">
        <v>9</v>
      </c>
      <c r="D10" s="30"/>
    </row>
    <row r="11" spans="1:4" ht="16.5" customHeight="1">
      <c r="A11" s="38">
        <v>10</v>
      </c>
    </row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 발주서</vt:lpstr>
      <vt:lpstr>단가</vt:lpstr>
      <vt:lpstr>담당</vt:lpstr>
      <vt:lpstr>배송지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2025-11-04T01:23:47Z</dcterms:modified>
</cp:coreProperties>
</file>